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U:\ETPM4\Eval\PM4-003-Thursday\Grebnevs-Perri\"/>
    </mc:Choice>
  </mc:AlternateContent>
  <xr:revisionPtr revIDLastSave="0" documentId="13_ncr:1_{F9CA5375-63EC-417C-B53C-C071BB6D6C01}" xr6:coauthVersionLast="47" xr6:coauthVersionMax="47" xr10:uidLastSave="{00000000-0000-0000-0000-000000000000}"/>
  <bookViews>
    <workbookView xWindow="4650" yWindow="3263" windowWidth="16875" windowHeight="10432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4" i="1" l="1"/>
  <c r="G44" i="1"/>
  <c r="G33" i="1"/>
  <c r="H27" i="1"/>
  <c r="G27" i="1"/>
  <c r="H21" i="1"/>
  <c r="G21" i="1"/>
  <c r="H17" i="1"/>
  <c r="G17" i="1"/>
  <c r="H11" i="1"/>
  <c r="G11" i="1"/>
  <c r="E33" i="1"/>
  <c r="H33" i="1" l="1"/>
  <c r="E55" i="1"/>
  <c r="E17" i="1"/>
  <c r="E21" i="1"/>
  <c r="E27" i="1"/>
  <c r="E46" i="1"/>
  <c r="E11" i="1"/>
  <c r="E58" i="1" l="1"/>
  <c r="D58" i="1"/>
</calcChain>
</file>

<file path=xl/sharedStrings.xml><?xml version="1.0" encoding="utf-8"?>
<sst xmlns="http://schemas.openxmlformats.org/spreadsheetml/2006/main" count="52" uniqueCount="45">
  <si>
    <t>Students</t>
  </si>
  <si>
    <t>Checklist</t>
  </si>
  <si>
    <t>Technical aspects</t>
  </si>
  <si>
    <t>Overall mark</t>
  </si>
  <si>
    <t>Marks</t>
  </si>
  <si>
    <t>Operating point voltages ok</t>
  </si>
  <si>
    <t>Signal gain and noise ok</t>
  </si>
  <si>
    <t>User interface, usability</t>
  </si>
  <si>
    <t>Signal acquisition and processing</t>
  </si>
  <si>
    <t>Language aspects</t>
  </si>
  <si>
    <t>Weight</t>
  </si>
  <si>
    <t>Additional Features</t>
  </si>
  <si>
    <t>Conclusion</t>
  </si>
  <si>
    <t>Linguistic aspects</t>
  </si>
  <si>
    <t>HW Subsystem Test</t>
  </si>
  <si>
    <t>FW Subsystem Test</t>
  </si>
  <si>
    <t>ADC samples ok (on display)</t>
  </si>
  <si>
    <t>FFT output ok (on display)</t>
  </si>
  <si>
    <t>Video Documentation</t>
  </si>
  <si>
    <t>Introduction</t>
  </si>
  <si>
    <t>Overall Concept</t>
  </si>
  <si>
    <t>User Interface</t>
  </si>
  <si>
    <t>Additional Features, USP</t>
  </si>
  <si>
    <t>ET.PM4</t>
  </si>
  <si>
    <t>Live Demonstration</t>
  </si>
  <si>
    <t>Test Scenarios</t>
  </si>
  <si>
    <t>Basic Features</t>
  </si>
  <si>
    <t>Result representation</t>
  </si>
  <si>
    <t>Goals</t>
  </si>
  <si>
    <t>Signal Processing</t>
  </si>
  <si>
    <t>Features</t>
  </si>
  <si>
    <t>Remarks</t>
  </si>
  <si>
    <t>Appealing for the audience</t>
  </si>
  <si>
    <t>Preparation and Documentation</t>
  </si>
  <si>
    <t>Overall Impression</t>
  </si>
  <si>
    <t>One Pager Product Proposal</t>
  </si>
  <si>
    <t xml:space="preserve">Clarity &amp; Readability, Correctness, Completeness ... </t>
  </si>
  <si>
    <t>Thomas Perri</t>
  </si>
  <si>
    <t>Bogdans Grebnevs</t>
  </si>
  <si>
    <t>no complex signal demonstrated</t>
  </si>
  <si>
    <t>Interim Grading</t>
  </si>
  <si>
    <t>SD card logging, ECG measurement for comparison</t>
  </si>
  <si>
    <t xml:space="preserve">Good use case idea, </t>
  </si>
  <si>
    <t xml:space="preserve">No live demonstration </t>
  </si>
  <si>
    <t>Minor pronunciation inconsistencies, overall good. 
One voice over two would be more ideal (loudness varies). Very data/tech-detail-heavy.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</si>
</sst>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9" fontId="1" fillId="0" borderId="0" xfId="1" applyFont="1"/>
    <xf numFmtId="0" fontId="3" fillId="0" borderId="0" xfId="0" applyFon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8"/>
  <sheetViews>
    <sheetView tabSelected="1" topLeftCell="C48" zoomScale="115" zoomScaleNormal="115" workbookViewId="0">
      <selection activeCell="F55" sqref="F55"/>
    </sheetView>
  </sheetViews>
  <sheetFormatPr baseColWidth="10" defaultColWidth="8.796875" defaultRowHeight="14.25" x14ac:dyDescent="0.45"/>
  <cols>
    <col min="1" max="1" width="24.6640625" customWidth="1"/>
    <col min="2" max="2" width="45.1328125" bestFit="1" customWidth="1"/>
    <col min="3" max="3" width="7.1328125" style="2" customWidth="1"/>
    <col min="4" max="4" width="8.796875" style="5"/>
    <col min="5" max="5" width="8.796875" style="2"/>
    <col min="6" max="6" width="80.6640625" customWidth="1"/>
  </cols>
  <sheetData>
    <row r="1" spans="1:8" x14ac:dyDescent="0.45">
      <c r="A1" t="s">
        <v>23</v>
      </c>
      <c r="B1" t="s">
        <v>1</v>
      </c>
      <c r="C1" s="2" t="s">
        <v>4</v>
      </c>
      <c r="D1" s="5" t="s">
        <v>10</v>
      </c>
      <c r="E1" s="2" t="s">
        <v>4</v>
      </c>
      <c r="F1" t="s">
        <v>31</v>
      </c>
      <c r="G1" t="s">
        <v>40</v>
      </c>
    </row>
    <row r="3" spans="1:8" x14ac:dyDescent="0.45">
      <c r="A3" t="s">
        <v>0</v>
      </c>
      <c r="B3" t="s">
        <v>37</v>
      </c>
    </row>
    <row r="4" spans="1:8" x14ac:dyDescent="0.45">
      <c r="B4" t="s">
        <v>38</v>
      </c>
    </row>
    <row r="7" spans="1:8" x14ac:dyDescent="0.45">
      <c r="A7" t="s">
        <v>30</v>
      </c>
    </row>
    <row r="10" spans="1:8" x14ac:dyDescent="0.45">
      <c r="A10" s="1"/>
    </row>
    <row r="11" spans="1:8" x14ac:dyDescent="0.45">
      <c r="A11" t="s">
        <v>35</v>
      </c>
      <c r="B11" s="1" t="s">
        <v>2</v>
      </c>
      <c r="D11" s="5">
        <v>0.05</v>
      </c>
      <c r="E11" s="9">
        <f>AVERAGE(C12:C15)</f>
        <v>5.875</v>
      </c>
      <c r="G11" s="10">
        <f>D11</f>
        <v>0.05</v>
      </c>
      <c r="H11" s="9">
        <f>E11</f>
        <v>5.875</v>
      </c>
    </row>
    <row r="12" spans="1:8" x14ac:dyDescent="0.45">
      <c r="B12" t="s">
        <v>34</v>
      </c>
      <c r="C12" s="2">
        <v>6</v>
      </c>
    </row>
    <row r="13" spans="1:8" x14ac:dyDescent="0.45">
      <c r="B13" t="s">
        <v>36</v>
      </c>
      <c r="C13" s="8">
        <v>5.75</v>
      </c>
    </row>
    <row r="14" spans="1:8" x14ac:dyDescent="0.45">
      <c r="B14" s="7"/>
      <c r="C14" s="7"/>
    </row>
    <row r="16" spans="1:8" x14ac:dyDescent="0.45">
      <c r="B16" s="1"/>
    </row>
    <row r="17" spans="1:8" x14ac:dyDescent="0.45">
      <c r="A17" t="s">
        <v>35</v>
      </c>
      <c r="B17" s="1" t="s">
        <v>13</v>
      </c>
      <c r="C17" s="9">
        <v>5.875</v>
      </c>
      <c r="D17" s="5">
        <v>0.05</v>
      </c>
      <c r="E17" s="9">
        <f>C17</f>
        <v>5.875</v>
      </c>
      <c r="G17" s="10">
        <f>D17+G11</f>
        <v>0.1</v>
      </c>
      <c r="H17" s="9">
        <f>(D17*E17+G11*H11)/G17</f>
        <v>5.875</v>
      </c>
    </row>
    <row r="18" spans="1:8" x14ac:dyDescent="0.45">
      <c r="B18" s="1"/>
    </row>
    <row r="21" spans="1:8" x14ac:dyDescent="0.45">
      <c r="A21" t="s">
        <v>14</v>
      </c>
      <c r="B21" s="1"/>
      <c r="D21" s="5">
        <v>0.15</v>
      </c>
      <c r="E21" s="9">
        <f>AVERAGE(C22:C25)</f>
        <v>5.583333333333333</v>
      </c>
      <c r="G21" s="10">
        <f>D21+G17</f>
        <v>0.25</v>
      </c>
      <c r="H21" s="9">
        <f>(D21*E21+G17*H17)/G21</f>
        <v>5.6999999999999993</v>
      </c>
    </row>
    <row r="22" spans="1:8" x14ac:dyDescent="0.45">
      <c r="B22" s="1" t="s">
        <v>5</v>
      </c>
      <c r="C22" s="2">
        <v>5.75</v>
      </c>
    </row>
    <row r="23" spans="1:8" x14ac:dyDescent="0.45">
      <c r="B23" s="1" t="s">
        <v>6</v>
      </c>
      <c r="C23" s="2">
        <v>5.5</v>
      </c>
    </row>
    <row r="24" spans="1:8" x14ac:dyDescent="0.45">
      <c r="B24" t="s">
        <v>33</v>
      </c>
      <c r="C24" s="2">
        <v>5.5</v>
      </c>
    </row>
    <row r="25" spans="1:8" x14ac:dyDescent="0.45">
      <c r="B25" s="1"/>
    </row>
    <row r="27" spans="1:8" x14ac:dyDescent="0.45">
      <c r="A27" t="s">
        <v>15</v>
      </c>
      <c r="B27" s="1"/>
      <c r="D27" s="5">
        <v>0.15</v>
      </c>
      <c r="E27" s="9">
        <f>AVERAGE(C28:C31)</f>
        <v>5.5</v>
      </c>
      <c r="G27" s="10">
        <f>D27+G21</f>
        <v>0.4</v>
      </c>
      <c r="H27" s="9">
        <f>(D27*E27+G21*H21)/G27</f>
        <v>5.625</v>
      </c>
    </row>
    <row r="28" spans="1:8" x14ac:dyDescent="0.45">
      <c r="B28" s="1" t="s">
        <v>16</v>
      </c>
      <c r="C28" s="8">
        <v>5.5</v>
      </c>
    </row>
    <row r="29" spans="1:8" x14ac:dyDescent="0.45">
      <c r="B29" s="1" t="s">
        <v>17</v>
      </c>
      <c r="C29" s="2">
        <v>5.5</v>
      </c>
      <c r="E29" s="2" t="s">
        <v>39</v>
      </c>
    </row>
    <row r="30" spans="1:8" x14ac:dyDescent="0.45">
      <c r="B30" t="s">
        <v>33</v>
      </c>
      <c r="C30" s="2">
        <v>5.5</v>
      </c>
    </row>
    <row r="31" spans="1:8" x14ac:dyDescent="0.45">
      <c r="B31" s="1"/>
    </row>
    <row r="32" spans="1:8" x14ac:dyDescent="0.45">
      <c r="B32" s="1"/>
    </row>
    <row r="33" spans="1:8" x14ac:dyDescent="0.45">
      <c r="A33" t="s">
        <v>18</v>
      </c>
      <c r="B33" s="1" t="s">
        <v>2</v>
      </c>
      <c r="D33" s="5">
        <v>0.1</v>
      </c>
      <c r="E33" s="9">
        <f>AVERAGE(C34:C42)</f>
        <v>5.46875</v>
      </c>
      <c r="G33" s="10">
        <f>D33+G27</f>
        <v>0.5</v>
      </c>
      <c r="H33" s="9">
        <f>(D33*E33+G27*H27)/G33</f>
        <v>5.59375</v>
      </c>
    </row>
    <row r="34" spans="1:8" x14ac:dyDescent="0.45">
      <c r="B34" t="s">
        <v>19</v>
      </c>
      <c r="C34" s="2">
        <v>5.5</v>
      </c>
    </row>
    <row r="35" spans="1:8" x14ac:dyDescent="0.45">
      <c r="B35" t="s">
        <v>28</v>
      </c>
      <c r="C35" s="8">
        <v>5.75</v>
      </c>
      <c r="F35" t="s">
        <v>42</v>
      </c>
    </row>
    <row r="36" spans="1:8" x14ac:dyDescent="0.45">
      <c r="B36" t="s">
        <v>20</v>
      </c>
      <c r="C36" s="2">
        <v>5.5</v>
      </c>
    </row>
    <row r="37" spans="1:8" x14ac:dyDescent="0.45">
      <c r="B37" t="s">
        <v>29</v>
      </c>
      <c r="C37" s="2">
        <v>5.5</v>
      </c>
    </row>
    <row r="38" spans="1:8" x14ac:dyDescent="0.45">
      <c r="B38" t="s">
        <v>21</v>
      </c>
      <c r="C38" s="8">
        <v>5.25</v>
      </c>
      <c r="F38" t="s">
        <v>43</v>
      </c>
    </row>
    <row r="39" spans="1:8" x14ac:dyDescent="0.45">
      <c r="B39" t="s">
        <v>22</v>
      </c>
      <c r="C39" s="8">
        <v>5.25</v>
      </c>
      <c r="F39" t="s">
        <v>41</v>
      </c>
    </row>
    <row r="40" spans="1:8" x14ac:dyDescent="0.45">
      <c r="B40" t="s">
        <v>12</v>
      </c>
      <c r="C40" s="2">
        <v>5.5</v>
      </c>
    </row>
    <row r="41" spans="1:8" x14ac:dyDescent="0.45">
      <c r="B41" t="s">
        <v>32</v>
      </c>
      <c r="C41" s="2">
        <v>5.5</v>
      </c>
    </row>
    <row r="44" spans="1:8" ht="28.5" x14ac:dyDescent="0.45">
      <c r="A44" t="s">
        <v>18</v>
      </c>
      <c r="B44" t="s">
        <v>9</v>
      </c>
      <c r="C44" s="2">
        <v>4</v>
      </c>
      <c r="D44" s="5">
        <v>0.1</v>
      </c>
      <c r="E44" s="8">
        <v>5.35</v>
      </c>
      <c r="F44" s="11" t="s">
        <v>44</v>
      </c>
      <c r="G44" s="10">
        <f>D44+G33</f>
        <v>0.6</v>
      </c>
      <c r="H44" s="9">
        <f>(D44*E44+G33*H33)/G44</f>
        <v>5.5531250000000005</v>
      </c>
    </row>
    <row r="46" spans="1:8" x14ac:dyDescent="0.45">
      <c r="A46" t="s">
        <v>24</v>
      </c>
      <c r="D46" s="5">
        <v>0.3</v>
      </c>
      <c r="E46" s="2">
        <f>AVERAGE(C47:C52)</f>
        <v>0</v>
      </c>
    </row>
    <row r="47" spans="1:8" x14ac:dyDescent="0.45">
      <c r="B47" t="s">
        <v>7</v>
      </c>
      <c r="C47" s="2">
        <v>0</v>
      </c>
    </row>
    <row r="48" spans="1:8" x14ac:dyDescent="0.45">
      <c r="B48" t="s">
        <v>8</v>
      </c>
      <c r="C48" s="2">
        <v>0</v>
      </c>
    </row>
    <row r="49" spans="1:5" x14ac:dyDescent="0.45">
      <c r="B49" t="s">
        <v>27</v>
      </c>
      <c r="C49" s="2">
        <v>0</v>
      </c>
    </row>
    <row r="50" spans="1:5" x14ac:dyDescent="0.45">
      <c r="B50" t="s">
        <v>25</v>
      </c>
      <c r="C50" s="2">
        <v>0</v>
      </c>
    </row>
    <row r="51" spans="1:5" x14ac:dyDescent="0.45">
      <c r="B51" t="s">
        <v>26</v>
      </c>
      <c r="C51" s="2">
        <v>0</v>
      </c>
    </row>
    <row r="52" spans="1:5" x14ac:dyDescent="0.45">
      <c r="B52" t="s">
        <v>11</v>
      </c>
      <c r="C52" s="2">
        <v>0</v>
      </c>
    </row>
    <row r="55" spans="1:5" x14ac:dyDescent="0.45">
      <c r="A55" t="s">
        <v>24</v>
      </c>
      <c r="B55" t="s">
        <v>9</v>
      </c>
      <c r="C55" s="2">
        <v>0</v>
      </c>
      <c r="D55" s="5">
        <v>0.1</v>
      </c>
      <c r="E55" s="2">
        <f>C55</f>
        <v>0</v>
      </c>
    </row>
    <row r="58" spans="1:5" s="3" customFormat="1" x14ac:dyDescent="0.45">
      <c r="A58" s="3" t="s">
        <v>3</v>
      </c>
      <c r="C58" s="4"/>
      <c r="D58" s="6">
        <f>SUM(D4:D57)</f>
        <v>0.99999999999999989</v>
      </c>
      <c r="E58" s="4">
        <f>D11*E11+D17*E17+D21*E21+D27*E27+D33*E33+D44*E44+D46*E46+D55*E55</f>
        <v>3.3318750000000001</v>
      </c>
    </row>
  </sheetData>
  <pageMargins left="0.7" right="0.7" top="0.75" bottom="0.75" header="0.51180555555555496" footer="0.51180555555555496"/>
  <pageSetup paperSize="9" scale="95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Hochreutener Hanspeter (hhrt)</dc:creator>
  <cp:lastModifiedBy>Ehrensperger Andreas (eand)</cp:lastModifiedBy>
  <cp:revision>0</cp:revision>
  <cp:lastPrinted>2020-03-09T07:50:14Z</cp:lastPrinted>
  <dcterms:created xsi:type="dcterms:W3CDTF">2006-09-16T00:00:00Z</dcterms:created>
  <dcterms:modified xsi:type="dcterms:W3CDTF">2026-06-02T15:05:04Z</dcterms:modified>
  <dc:language>de-CH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bb7c8b-3fd4-4dea-b697-0f2931e84efa_Enabled">
    <vt:lpwstr>True</vt:lpwstr>
  </property>
  <property fmtid="{D5CDD505-2E9C-101B-9397-08002B2CF9AE}" pid="3" name="MSIP_Label_29bb7c8b-3fd4-4dea-b697-0f2931e84efa_SiteId">
    <vt:lpwstr>5d1a9f9d-201f-4a10-b983-451cf65cbc1e</vt:lpwstr>
  </property>
  <property fmtid="{D5CDD505-2E9C-101B-9397-08002B2CF9AE}" pid="4" name="MSIP_Label_29bb7c8b-3fd4-4dea-b697-0f2931e84efa_Owner">
    <vt:lpwstr>hhrt@zhaw.ch</vt:lpwstr>
  </property>
  <property fmtid="{D5CDD505-2E9C-101B-9397-08002B2CF9AE}" pid="5" name="MSIP_Label_29bb7c8b-3fd4-4dea-b697-0f2931e84efa_SetDate">
    <vt:lpwstr>2020-05-07T06:23:51.2636956Z</vt:lpwstr>
  </property>
  <property fmtid="{D5CDD505-2E9C-101B-9397-08002B2CF9AE}" pid="6" name="MSIP_Label_29bb7c8b-3fd4-4dea-b697-0f2931e84efa_Name">
    <vt:lpwstr>Öffentlich</vt:lpwstr>
  </property>
  <property fmtid="{D5CDD505-2E9C-101B-9397-08002B2CF9AE}" pid="7" name="MSIP_Label_29bb7c8b-3fd4-4dea-b697-0f2931e84efa_Application">
    <vt:lpwstr>Microsoft Azure Information Protection</vt:lpwstr>
  </property>
  <property fmtid="{D5CDD505-2E9C-101B-9397-08002B2CF9AE}" pid="8" name="MSIP_Label_29bb7c8b-3fd4-4dea-b697-0f2931e84efa_ActionId">
    <vt:lpwstr>36b71f91-0526-4f30-8dd2-afd88a4ac50d</vt:lpwstr>
  </property>
  <property fmtid="{D5CDD505-2E9C-101B-9397-08002B2CF9AE}" pid="9" name="MSIP_Label_29bb7c8b-3fd4-4dea-b697-0f2931e84efa_Extended_MSFT_Method">
    <vt:lpwstr>Manual</vt:lpwstr>
  </property>
  <property fmtid="{D5CDD505-2E9C-101B-9397-08002B2CF9AE}" pid="10" name="Sensitivity">
    <vt:lpwstr>Öffentlich</vt:lpwstr>
  </property>
</Properties>
</file>