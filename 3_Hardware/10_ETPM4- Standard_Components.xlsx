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S:\pools\t\T-ISC-ET-PM4\3_Hardware\"/>
    </mc:Choice>
  </mc:AlternateContent>
  <xr:revisionPtr revIDLastSave="0" documentId="8_{0E6673B8-274D-4905-953B-32BE389B9FD6}" xr6:coauthVersionLast="47" xr6:coauthVersionMax="47" xr10:uidLastSave="{00000000-0000-0000-0000-000000000000}"/>
  <bookViews>
    <workbookView xWindow="-98" yWindow="-98" windowWidth="22695" windowHeight="14476" xr2:uid="{00000000-000D-0000-FFFF-FFFF00000000}"/>
  </bookViews>
  <sheets>
    <sheet name="PM3+4" sheetId="1" r:id="rId1"/>
    <sheet name="Demo-Board" sheetId="2" r:id="rId2"/>
    <sheet name="Connector-PCB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  <c r="G38" i="1" s="1"/>
  <c r="J38" i="1" l="1"/>
  <c r="F16" i="1" l="1"/>
  <c r="G16" i="1" s="1"/>
  <c r="F10" i="1"/>
  <c r="G10" i="1" s="1"/>
  <c r="F11" i="1"/>
  <c r="G11" i="1" s="1"/>
  <c r="J35" i="1"/>
  <c r="F35" i="1"/>
  <c r="G35" i="1" s="1"/>
  <c r="F24" i="1"/>
  <c r="J24" i="1" s="1"/>
  <c r="J26" i="1"/>
  <c r="F26" i="1"/>
  <c r="G26" i="1" s="1"/>
  <c r="F7" i="1"/>
  <c r="J7" i="1" s="1"/>
  <c r="F17" i="3"/>
  <c r="F15" i="3"/>
  <c r="F13" i="3"/>
  <c r="F11" i="3"/>
  <c r="F9" i="3"/>
  <c r="F8" i="3"/>
  <c r="F7" i="3"/>
  <c r="F5" i="3"/>
  <c r="F9" i="1"/>
  <c r="J9" i="1" s="1"/>
  <c r="F8" i="1"/>
  <c r="J8" i="1" s="1"/>
  <c r="F39" i="1"/>
  <c r="J39" i="1" s="1"/>
  <c r="G24" i="1" l="1"/>
  <c r="G8" i="1"/>
  <c r="G39" i="1"/>
  <c r="G9" i="1"/>
  <c r="G7" i="1"/>
  <c r="F20" i="3"/>
  <c r="F45" i="1" l="1"/>
  <c r="F44" i="1"/>
  <c r="F43" i="1"/>
  <c r="F34" i="1"/>
  <c r="G34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G27" i="1" s="1"/>
  <c r="F25" i="1"/>
  <c r="G25" i="1" s="1"/>
  <c r="F23" i="1"/>
  <c r="G23" i="1" s="1"/>
  <c r="F22" i="1"/>
  <c r="G22" i="1" s="1"/>
  <c r="F18" i="1"/>
  <c r="G18" i="1" s="1"/>
  <c r="F17" i="1"/>
  <c r="G17" i="1" s="1"/>
  <c r="F15" i="1"/>
  <c r="G15" i="1" s="1"/>
  <c r="F13" i="1"/>
  <c r="G13" i="1" s="1"/>
  <c r="F12" i="1"/>
  <c r="G12" i="1" s="1"/>
  <c r="F6" i="1"/>
  <c r="J12" i="1"/>
  <c r="J34" i="1"/>
  <c r="J33" i="1"/>
  <c r="J32" i="1"/>
  <c r="J31" i="1"/>
  <c r="J30" i="1"/>
  <c r="J29" i="1"/>
  <c r="J28" i="1"/>
  <c r="J27" i="1"/>
  <c r="J25" i="1"/>
  <c r="J23" i="1"/>
  <c r="J22" i="1"/>
  <c r="J18" i="1"/>
  <c r="J17" i="1"/>
  <c r="J15" i="1"/>
  <c r="J13" i="1"/>
  <c r="J43" i="1" l="1"/>
  <c r="G43" i="1"/>
  <c r="J44" i="1"/>
  <c r="G44" i="1"/>
  <c r="J45" i="1"/>
  <c r="G45" i="1"/>
  <c r="J6" i="1"/>
  <c r="G6" i="1"/>
  <c r="F6" i="2"/>
  <c r="F11" i="2"/>
  <c r="F12" i="2"/>
  <c r="F19" i="2"/>
  <c r="F10" i="2"/>
  <c r="F9" i="2"/>
  <c r="F8" i="2"/>
  <c r="F21" i="2"/>
  <c r="F17" i="2"/>
  <c r="F15" i="2"/>
  <c r="F13" i="2"/>
  <c r="F5" i="2"/>
  <c r="F24" i="2" l="1"/>
</calcChain>
</file>

<file path=xl/sharedStrings.xml><?xml version="1.0" encoding="utf-8"?>
<sst xmlns="http://schemas.openxmlformats.org/spreadsheetml/2006/main" count="200" uniqueCount="124">
  <si>
    <t>Distributor</t>
  </si>
  <si>
    <t>Part Number</t>
  </si>
  <si>
    <t>Description</t>
  </si>
  <si>
    <t>Total</t>
  </si>
  <si>
    <t>Distrelec</t>
  </si>
  <si>
    <t>Farnell</t>
  </si>
  <si>
    <t>Mouser</t>
  </si>
  <si>
    <t>Digikey</t>
  </si>
  <si>
    <t>Remarks</t>
  </si>
  <si>
    <t>SIP32508DT-T1-GE3 - Leistungsschalter, über Slew-Rate gesteuert, High-Side, Active-High, 1 Ausgang, 5.5V, TSOT-23-6</t>
  </si>
  <si>
    <t>SD103AWS-7-F - Kleinsignal-Schottky-Diode, Einfach, 40 V, 200 mA, 600 mV, 1.5 A, 125 °C</t>
  </si>
  <si>
    <t>LED with different colours, Footprint 1206 or similar</t>
  </si>
  <si>
    <t xml:space="preserve">STM32F429I-DISC1 - Entwicklungsboard, STM32F429ZI-MCU, 2.4"-QVGA-LCD, 3-Achsen-MEMS-Bewegungssensor </t>
  </si>
  <si>
    <t>Replaces an electrolytic capacitor</t>
  </si>
  <si>
    <t xml:space="preserve">C0805C104M5RACTU - Keramikvielschichtkondensator, SMD, 0.1 µF, 50 V, 0805 [Metrisch 2012], ± 20%, X7R </t>
  </si>
  <si>
    <t>TEST POINT, PCB, THROUGH HOLE</t>
  </si>
  <si>
    <t>GRM31CD80J107ME39L - Keramikvielschichtkondensator, SMD, 100 µF, 6.3 V, 1206 [Metrisch 3216], ± 20%, X6T, Baureihe GRM</t>
  </si>
  <si>
    <t>Unit Price
for 100+</t>
  </si>
  <si>
    <t>ET.PM3</t>
  </si>
  <si>
    <t xml:space="preserve">1301.9318 - Taster, LSH Series, Von oben zu betätigen, Oberflächenmontage, Runde Taste, 160 gf, 50mA bei 12V DC </t>
  </si>
  <si>
    <t xml:space="preserve">GRM21BR71C105KA01L - Keramikvielschichtkondensator, SMD, 1 µF, 16 V, 0805 [Metrisch 2012], ± 10%, X7R, Baureihe GRM </t>
  </si>
  <si>
    <t xml:space="preserve">2213S-08G - Board-to-Board-Steckverbinder, 2.54 mm, 8 Kontakt(e), Stiftleiste, Baureihe 2213S </t>
  </si>
  <si>
    <t>Eurocircuit</t>
  </si>
  <si>
    <t xml:space="preserve">2213S-40G - Board-to-Board-Steckverbinder, 2.54 mm, 40 Kontakt(e), Stiftleiste, Baureihe 2213S </t>
  </si>
  <si>
    <t>143-71-101</t>
  </si>
  <si>
    <t>C2700-02AAGB00R - Isoliert C2700 Jumper, 3A, 1 x 2, 2.54mm Raster, Hsuan Mao</t>
  </si>
  <si>
    <t>Others</t>
  </si>
  <si>
    <t>Demo-HW-PCB for the cable_monitor_template SW</t>
  </si>
  <si>
    <t>RK09K1130AH1 - Drehpotentiometer, 10 kohm, 1 Umdrehung(en), Linear, 50 mW</t>
  </si>
  <si>
    <t>MP170822BR - Knopf, D-förmig, 6 mm, Rund mit Markierungslinie, 16.2 mm</t>
  </si>
  <si>
    <t>2214S-22SG-85 - Board-to-Board-Steckverbinder, 2.54 mm, 22 Kontakt(e), Buchse</t>
  </si>
  <si>
    <t>Resistors, different values, SMD 0805, from standard kits</t>
  </si>
  <si>
    <t>2211S-06G - Board-to-Board-Steckverbinder, 2.54 mm, 6 Kontakt(e), Stiftleiste</t>
  </si>
  <si>
    <t>Quantity per
demo board</t>
  </si>
  <si>
    <t>Demo-HW for the cable_monitor_template SW =&gt; 10 for lecturers</t>
  </si>
  <si>
    <t>C2700-02AAGB00R - Isoliert C2700 Jumper</t>
  </si>
  <si>
    <t>Price of 1 board. Volume discount?
Also available at Distrelec, Mouser and Digikey</t>
  </si>
  <si>
    <t>2213SM-08G-TB - Stiftleiste, Board-to-Board, 2.54 mm, 2 Reihe(n), 8 Kontakt(e), Oberflächenmontage</t>
  </si>
  <si>
    <t>MCP6002-I/SN - Operationsverstärker, Zweifach, 2 Verstärker, 1 MHz, 0.6 V/µs, 1.8V bis 5.5V, SOIC, 8 Pin(s)</t>
  </si>
  <si>
    <t xml:space="preserve">2211S-02G - Board-to-Board-Steckverbinder, 2.54 mm, 2 Kontakt(e), Stiftleiste, Baureihe 2211S </t>
  </si>
  <si>
    <t>GRM21BR61C106KE15K - Keramikvielschichtkondensator, SMD, 10 µF, 16 V, 0805 [Metrisch 2012], ± 10%, X5R, GRM Series</t>
  </si>
  <si>
    <t>Block capacitor</t>
  </si>
  <si>
    <t>For pushbutton on / auto off</t>
  </si>
  <si>
    <t>Test point with loop to attach probes</t>
  </si>
  <si>
    <t>SMD 2x4, for jumper</t>
  </si>
  <si>
    <t>THT 2x20</t>
  </si>
  <si>
    <t>THT 2x4, for mechanical support</t>
  </si>
  <si>
    <t>THT 1x2, support for coil sensor</t>
  </si>
  <si>
    <t>Pshbutton on</t>
  </si>
  <si>
    <t>Capacitors, different values &lt; 10nF, SMD 0805, from standard kits</t>
  </si>
  <si>
    <t>Total
per student</t>
  </si>
  <si>
    <t>Quantity per student</t>
  </si>
  <si>
    <t>Jumper</t>
  </si>
  <si>
    <t>STM32F429I-DISC1</t>
  </si>
  <si>
    <t>MCP6002, OpAmp</t>
  </si>
  <si>
    <t>SD103, Signal-Schottky</t>
  </si>
  <si>
    <t>100 µF, 6.3 V, 1206</t>
  </si>
  <si>
    <t>10 µF, 16 V, 0805</t>
  </si>
  <si>
    <t>1 µF, 16 V, 0805</t>
  </si>
  <si>
    <t>THT 1x6, header as alternative to test points</t>
  </si>
  <si>
    <t>Header, SMD, 2x4</t>
  </si>
  <si>
    <t>Header, THT, 2x20</t>
  </si>
  <si>
    <t>Header, THT, 2x4</t>
  </si>
  <si>
    <t>Header, THT, 1x2</t>
  </si>
  <si>
    <t>Header, THT, 1x6</t>
  </si>
  <si>
    <t>SIP32508, Switch</t>
  </si>
  <si>
    <t>Pushbutton</t>
  </si>
  <si>
    <t>Testpoint</t>
  </si>
  <si>
    <t>100 nF, 50 V, 0805</t>
  </si>
  <si>
    <t>C0805C105K4RACTU - Keramikvielschichtkondensator, SMD, 1 µF, 16 V, 0805 [Metrisch 2012], ± 10%, X7R</t>
  </si>
  <si>
    <t>K-LC5-RFB-00C Radar HF-Transceiver-Module 24,05GHz bis 24,25GHz</t>
  </si>
  <si>
    <t>Radar-Modul for PM4, 3.3V version</t>
  </si>
  <si>
    <t>Socket</t>
  </si>
  <si>
    <t>300-24-942</t>
  </si>
  <si>
    <t>61303211821 - WR-PHD Gerade Buchse Leiterplattenbuchse, Durchsteckmontage, 1 Reihen, 32 Kontakte, 2.54mm Raster, Würth Elektronik</t>
  </si>
  <si>
    <t>143-84-024</t>
  </si>
  <si>
    <t>801-87-032-10-012101 - 801 Gerade Buchse Leiterplattenbuchse, Durchsteckmontage, 1 Reihen, 32 Kontakte, 2.54mm Raster, Preci-Dip</t>
  </si>
  <si>
    <t>THT 1x32 for connection to mikrocontroller board</t>
  </si>
  <si>
    <t>Alternative if above cheaper one is not available</t>
  </si>
  <si>
    <t>PM3</t>
  </si>
  <si>
    <t>PM4</t>
  </si>
  <si>
    <t>2012-K-LC5-
RFB-00C-ND</t>
  </si>
  <si>
    <t>Connector PCB for Piggyback =&gt; 10 for testequipment</t>
  </si>
  <si>
    <t>Quantity per
connector PCB</t>
  </si>
  <si>
    <t>61003218221 Stiftleiste, Board-to-Board, 2.54 mm, 1 Reihe(n), 32 Kontakt(e), Oberflächenmontage, gerade</t>
  </si>
  <si>
    <t>SSM-132-L-SV Printbuchse, Board-to-Board, 2.54 mm, 1 Reihe(n), 32 Kontakt(e), Oberflächenmontage</t>
  </si>
  <si>
    <t>Standard Components</t>
  </si>
  <si>
    <t>USB mini cable</t>
  </si>
  <si>
    <t>301-25-756</t>
  </si>
  <si>
    <t>USB-A-Anschluss auf USB-Mini-B-Anschlusskabel, 5-polig 1m Schwarz</t>
  </si>
  <si>
    <t>Radar-Sensor K-LC5 3.3V</t>
  </si>
  <si>
    <t>OpenLog SD-card adapter</t>
  </si>
  <si>
    <t>1568-1368-ND</t>
  </si>
  <si>
    <t>DEV-13712 ATMega328 Datenlogger Memory Evaluierungsplatine</t>
  </si>
  <si>
    <t>if datalogger functionality is desired</t>
  </si>
  <si>
    <t>LD1117S33CTR - LDO-Spannungsregler 3.3V 800mA SOT-223, ST</t>
  </si>
  <si>
    <t>LD1117S33, LDO</t>
  </si>
  <si>
    <t>MCP6272-E/SN Operationsverstärker, Zweifach, 2 Verstärker, 2 MHz, 0.9 V/µs, 2V bis 5.5V, SOIC, 8 Pin(s)</t>
  </si>
  <si>
    <t>Replacement for MCP6002</t>
  </si>
  <si>
    <t>MCP6272, OpAmp</t>
  </si>
  <si>
    <t xml:space="preserve">SS13L R3 - Schottky-Gleichrichterdiode, 30 V, 1 A, Einfach, SMD, 2 Pin(s), 500 mV </t>
  </si>
  <si>
    <t>SS13, Power-Schottky</t>
  </si>
  <si>
    <t>BSS316N</t>
  </si>
  <si>
    <t>Leistungs-MOSFET, n-Kanal, 30 V, 1.4 A, 0.119 ohm, SOT-23, Oberflächenmontage</t>
  </si>
  <si>
    <t>ET.PM4</t>
  </si>
  <si>
    <t>301-12-363</t>
  </si>
  <si>
    <t>USB mini receptacle</t>
  </si>
  <si>
    <t>USB mini receptacle, has been replace by above</t>
  </si>
  <si>
    <t>USB mini receptacle, used for +5V power connection</t>
  </si>
  <si>
    <t>Replacement for above</t>
  </si>
  <si>
    <t>Resistors, different values, SMD 0805,E12 from standard kits</t>
  </si>
  <si>
    <t>Header, SMD, 1x2</t>
  </si>
  <si>
    <t>Board-to-Board-Steckverbinder, 2.54 mm, 2 Kontakt(e), Stiftleiste,</t>
  </si>
  <si>
    <t>Header, THT, 1x3</t>
  </si>
  <si>
    <t>Stiftleiste, Board-to-Board, 2.54 mm, 1 Reihe(n), 3 Kontakt(e), Durchsteckmontage, gerade</t>
  </si>
  <si>
    <t xml:space="preserve">Female Header THT, 1x8 </t>
  </si>
  <si>
    <t>Printbuchse, Board-to-Board, 2.54 mm, 1 Reihe(n), 8 Kontakt(e), Durchsteckmontage, SSW</t>
  </si>
  <si>
    <t>Female Header THT, 1x84</t>
  </si>
  <si>
    <t>Printbuchse, Board-to-Board, 2.54 mm, 1 Reihe(n), 4 Kontakt(e), Durchsteckmontage, SSW</t>
  </si>
  <si>
    <t>Plastic Screw, M3</t>
  </si>
  <si>
    <t>Schrauben, Zylinderkopfschrauben, Schraubensatz, Schlitz, M3, Nylon 6.6, 30mm Länge</t>
  </si>
  <si>
    <t>Plastc Nut M3</t>
  </si>
  <si>
    <t>Nut, Hex, M3, Nylon 6.6, Pack of 100</t>
  </si>
  <si>
    <t>Package with 100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</si>
</sst>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2" fontId="0" fillId="0" borderId="0" xfId="0" applyNumberFormat="1" applyFont="1" applyAlignment="1">
      <alignment wrapText="1"/>
    </xf>
    <xf numFmtId="2" fontId="0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0" fontId="3" fillId="0" borderId="0" xfId="0" applyFont="1" applyAlignment="1">
      <alignment horizontal="left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5"/>
  <sheetViews>
    <sheetView tabSelected="1" zoomScaleNormal="100" workbookViewId="0">
      <pane ySplit="2550" activePane="bottomLeft"/>
      <selection activeCell="K1" sqref="K1:K1048576"/>
      <selection pane="bottomLeft" activeCell="A49" sqref="A49:XFD49"/>
    </sheetView>
  </sheetViews>
  <sheetFormatPr baseColWidth="10" defaultColWidth="8.86328125" defaultRowHeight="14.25" x14ac:dyDescent="0.45"/>
  <cols>
    <col min="1" max="1" width="23.86328125" customWidth="1"/>
    <col min="2" max="2" width="10.59765625" bestFit="1" customWidth="1"/>
    <col min="3" max="3" width="13.1328125" customWidth="1"/>
    <col min="4" max="4" width="6.1328125" hidden="1" customWidth="1"/>
    <col min="5" max="5" width="17.73046875" hidden="1" customWidth="1"/>
    <col min="6" max="6" width="8.53125" hidden="1" customWidth="1"/>
    <col min="7" max="7" width="7.19921875" hidden="1" customWidth="1"/>
    <col min="8" max="8" width="112.59765625" style="18" bestFit="1" customWidth="1"/>
    <col min="9" max="9" width="9.73046875" style="5" bestFit="1" customWidth="1"/>
    <col min="10" max="10" width="11.265625" style="5" hidden="1" customWidth="1"/>
    <col min="11" max="11" width="47.1328125" style="18" customWidth="1"/>
  </cols>
  <sheetData>
    <row r="1" spans="1:11" s="11" customFormat="1" ht="25.5" x14ac:dyDescent="0.75">
      <c r="A1" s="11" t="s">
        <v>104</v>
      </c>
      <c r="H1" s="15" t="s">
        <v>86</v>
      </c>
      <c r="I1" s="12"/>
      <c r="J1" s="12"/>
      <c r="K1" s="15"/>
    </row>
    <row r="2" spans="1:11" s="11" customFormat="1" ht="25.5" x14ac:dyDescent="0.75">
      <c r="H2" s="15"/>
      <c r="I2" s="12"/>
      <c r="J2" s="12"/>
      <c r="K2" s="15"/>
    </row>
    <row r="3" spans="1:11" s="7" customFormat="1" x14ac:dyDescent="0.45">
      <c r="D3" s="14" t="s">
        <v>51</v>
      </c>
      <c r="E3" s="14"/>
      <c r="F3" s="14"/>
      <c r="G3" s="13">
        <v>50</v>
      </c>
      <c r="H3" s="16"/>
      <c r="I3" s="9"/>
      <c r="J3" s="10"/>
      <c r="K3" s="16"/>
    </row>
    <row r="4" spans="1:11" ht="28.5" x14ac:dyDescent="0.45">
      <c r="A4" s="1" t="s">
        <v>2</v>
      </c>
      <c r="B4" s="1" t="s">
        <v>0</v>
      </c>
      <c r="C4" s="1" t="s">
        <v>1</v>
      </c>
      <c r="D4" s="2" t="s">
        <v>79</v>
      </c>
      <c r="E4" s="2" t="s">
        <v>80</v>
      </c>
      <c r="F4" s="2" t="s">
        <v>3</v>
      </c>
      <c r="G4" s="2" t="s">
        <v>3</v>
      </c>
      <c r="H4" s="17" t="s">
        <v>2</v>
      </c>
      <c r="I4" s="3" t="s">
        <v>17</v>
      </c>
      <c r="J4" s="3" t="s">
        <v>50</v>
      </c>
      <c r="K4" s="17" t="s">
        <v>8</v>
      </c>
    </row>
    <row r="5" spans="1:11" s="7" customFormat="1" x14ac:dyDescent="0.45">
      <c r="E5" s="8"/>
      <c r="F5" s="8"/>
      <c r="G5" s="8"/>
      <c r="H5" s="16"/>
      <c r="I5" s="9"/>
      <c r="J5" s="10"/>
      <c r="K5" s="16"/>
    </row>
    <row r="6" spans="1:11" x14ac:dyDescent="0.45">
      <c r="A6" t="s">
        <v>52</v>
      </c>
      <c r="B6" t="s">
        <v>4</v>
      </c>
      <c r="C6" t="s">
        <v>24</v>
      </c>
      <c r="E6">
        <v>3</v>
      </c>
      <c r="F6">
        <f>D6+E6</f>
        <v>3</v>
      </c>
      <c r="G6">
        <f t="shared" ref="G6:G7" si="0">$G$3*F6</f>
        <v>150</v>
      </c>
      <c r="H6" s="18" t="s">
        <v>25</v>
      </c>
      <c r="I6" s="5">
        <v>0.1386</v>
      </c>
      <c r="J6" s="5">
        <f>F6*I6</f>
        <v>0.4158</v>
      </c>
    </row>
    <row r="7" spans="1:11" x14ac:dyDescent="0.45">
      <c r="A7" t="s">
        <v>87</v>
      </c>
      <c r="B7" t="s">
        <v>4</v>
      </c>
      <c r="C7" t="s">
        <v>88</v>
      </c>
      <c r="E7">
        <v>0</v>
      </c>
      <c r="F7">
        <f>D7+E7</f>
        <v>0</v>
      </c>
      <c r="G7">
        <f t="shared" si="0"/>
        <v>0</v>
      </c>
      <c r="H7" s="18" t="s">
        <v>89</v>
      </c>
      <c r="I7" s="5">
        <v>1</v>
      </c>
      <c r="J7" s="5">
        <f>F7*I7</f>
        <v>0</v>
      </c>
    </row>
    <row r="8" spans="1:11" x14ac:dyDescent="0.45">
      <c r="A8" t="s">
        <v>72</v>
      </c>
      <c r="B8" t="s">
        <v>4</v>
      </c>
      <c r="C8" t="s">
        <v>73</v>
      </c>
      <c r="E8">
        <v>2</v>
      </c>
      <c r="F8">
        <f>D8+E8</f>
        <v>2</v>
      </c>
      <c r="G8">
        <f>$G$3*F8</f>
        <v>100</v>
      </c>
      <c r="H8" s="18" t="s">
        <v>74</v>
      </c>
      <c r="I8" s="5">
        <v>1.61</v>
      </c>
      <c r="J8" s="5">
        <f t="shared" ref="J8:J9" si="1">F8*I8</f>
        <v>3.22</v>
      </c>
      <c r="K8" s="18" t="s">
        <v>77</v>
      </c>
    </row>
    <row r="9" spans="1:11" x14ac:dyDescent="0.45">
      <c r="A9" t="s">
        <v>72</v>
      </c>
      <c r="B9" t="s">
        <v>4</v>
      </c>
      <c r="C9" t="s">
        <v>75</v>
      </c>
      <c r="E9">
        <v>0</v>
      </c>
      <c r="F9">
        <f>D9+E9</f>
        <v>0</v>
      </c>
      <c r="G9">
        <f t="shared" ref="G9:G45" si="2">$G$3*F9</f>
        <v>0</v>
      </c>
      <c r="H9" s="18" t="s">
        <v>76</v>
      </c>
      <c r="I9" s="5">
        <v>2.65</v>
      </c>
      <c r="J9" s="5">
        <f t="shared" si="1"/>
        <v>0</v>
      </c>
      <c r="K9" s="18" t="s">
        <v>78</v>
      </c>
    </row>
    <row r="10" spans="1:11" x14ac:dyDescent="0.45">
      <c r="A10" t="s">
        <v>106</v>
      </c>
      <c r="B10" t="s">
        <v>5</v>
      </c>
      <c r="C10">
        <v>2813789</v>
      </c>
      <c r="E10">
        <v>1</v>
      </c>
      <c r="F10">
        <f>D10+E10</f>
        <v>1</v>
      </c>
      <c r="G10">
        <f t="shared" si="2"/>
        <v>50</v>
      </c>
      <c r="H10" s="18" t="s">
        <v>108</v>
      </c>
    </row>
    <row r="11" spans="1:11" x14ac:dyDescent="0.45">
      <c r="A11" t="s">
        <v>106</v>
      </c>
      <c r="B11" t="s">
        <v>4</v>
      </c>
      <c r="C11" t="s">
        <v>105</v>
      </c>
      <c r="E11">
        <v>0</v>
      </c>
      <c r="F11">
        <f>D11+E11</f>
        <v>0</v>
      </c>
      <c r="G11">
        <f t="shared" si="2"/>
        <v>0</v>
      </c>
      <c r="H11" s="18" t="s">
        <v>107</v>
      </c>
    </row>
    <row r="12" spans="1:11" ht="13.5" customHeight="1" x14ac:dyDescent="0.45">
      <c r="A12" t="s">
        <v>53</v>
      </c>
      <c r="B12" t="s">
        <v>5</v>
      </c>
      <c r="C12">
        <v>2506924</v>
      </c>
      <c r="E12">
        <v>1</v>
      </c>
      <c r="F12">
        <f>D12+E12</f>
        <v>1</v>
      </c>
      <c r="G12">
        <f t="shared" si="2"/>
        <v>50</v>
      </c>
      <c r="H12" s="18" t="s">
        <v>12</v>
      </c>
      <c r="I12" s="5">
        <v>30</v>
      </c>
      <c r="J12" s="5">
        <f>(D12+E12)*I12</f>
        <v>30</v>
      </c>
      <c r="K12" s="19" t="s">
        <v>36</v>
      </c>
    </row>
    <row r="13" spans="1:11" x14ac:dyDescent="0.45">
      <c r="A13" t="s">
        <v>60</v>
      </c>
      <c r="B13" t="s">
        <v>5</v>
      </c>
      <c r="C13">
        <v>2847231</v>
      </c>
      <c r="E13">
        <v>0</v>
      </c>
      <c r="F13">
        <f>D13+E13</f>
        <v>0</v>
      </c>
      <c r="G13">
        <f t="shared" si="2"/>
        <v>0</v>
      </c>
      <c r="H13" s="18" t="s">
        <v>37</v>
      </c>
      <c r="I13" s="5">
        <v>0.22500000000000001</v>
      </c>
      <c r="J13" s="5">
        <f>(D13+E13)*I13</f>
        <v>0</v>
      </c>
      <c r="K13" s="19" t="s">
        <v>44</v>
      </c>
    </row>
    <row r="14" spans="1:11" x14ac:dyDescent="0.45">
      <c r="A14" t="s">
        <v>111</v>
      </c>
      <c r="B14" t="s">
        <v>5</v>
      </c>
      <c r="C14">
        <v>2505008</v>
      </c>
      <c r="H14" s="18" t="s">
        <v>112</v>
      </c>
      <c r="K14" s="19"/>
    </row>
    <row r="15" spans="1:11" x14ac:dyDescent="0.45">
      <c r="A15" t="s">
        <v>61</v>
      </c>
      <c r="B15" t="s">
        <v>5</v>
      </c>
      <c r="C15">
        <v>2725179</v>
      </c>
      <c r="E15">
        <v>0</v>
      </c>
      <c r="F15">
        <f>D15+E15</f>
        <v>0</v>
      </c>
      <c r="G15">
        <f t="shared" si="2"/>
        <v>0</v>
      </c>
      <c r="H15" s="18" t="s">
        <v>23</v>
      </c>
      <c r="I15" s="5">
        <v>0.1</v>
      </c>
      <c r="J15" s="5">
        <f>(D15+E15)*I15</f>
        <v>0</v>
      </c>
      <c r="K15" s="19" t="s">
        <v>45</v>
      </c>
    </row>
    <row r="16" spans="1:11" x14ac:dyDescent="0.45">
      <c r="A16" t="s">
        <v>61</v>
      </c>
      <c r="B16" t="s">
        <v>5</v>
      </c>
      <c r="C16">
        <v>1593446</v>
      </c>
      <c r="E16">
        <v>1</v>
      </c>
      <c r="F16">
        <f>D16+E16</f>
        <v>1</v>
      </c>
      <c r="G16">
        <f t="shared" ref="G16" si="3">$G$3*F16</f>
        <v>50</v>
      </c>
      <c r="H16" s="18" t="s">
        <v>109</v>
      </c>
      <c r="K16" s="19"/>
    </row>
    <row r="17" spans="1:11" x14ac:dyDescent="0.45">
      <c r="A17" t="s">
        <v>62</v>
      </c>
      <c r="B17" t="s">
        <v>5</v>
      </c>
      <c r="C17">
        <v>1593441</v>
      </c>
      <c r="E17">
        <v>0</v>
      </c>
      <c r="F17">
        <f>D17+E17</f>
        <v>0</v>
      </c>
      <c r="G17">
        <f t="shared" si="2"/>
        <v>0</v>
      </c>
      <c r="H17" s="18" t="s">
        <v>21</v>
      </c>
      <c r="I17" s="5">
        <v>3.7999999999999999E-2</v>
      </c>
      <c r="J17" s="5">
        <f>(D17+E17)*I17</f>
        <v>0</v>
      </c>
      <c r="K17" s="19" t="s">
        <v>46</v>
      </c>
    </row>
    <row r="18" spans="1:11" x14ac:dyDescent="0.45">
      <c r="A18" t="s">
        <v>63</v>
      </c>
      <c r="B18" t="s">
        <v>5</v>
      </c>
      <c r="C18">
        <v>1593411</v>
      </c>
      <c r="E18">
        <v>2</v>
      </c>
      <c r="F18">
        <f>D18+E18</f>
        <v>2</v>
      </c>
      <c r="G18">
        <f t="shared" si="2"/>
        <v>100</v>
      </c>
      <c r="H18" s="18" t="s">
        <v>39</v>
      </c>
      <c r="I18" s="5">
        <v>1.47E-2</v>
      </c>
      <c r="J18" s="5">
        <f>(D18+E18)*I18</f>
        <v>2.9399999999999999E-2</v>
      </c>
      <c r="K18" s="19" t="s">
        <v>47</v>
      </c>
    </row>
    <row r="19" spans="1:11" x14ac:dyDescent="0.45">
      <c r="A19" t="s">
        <v>113</v>
      </c>
      <c r="B19" t="s">
        <v>5</v>
      </c>
      <c r="C19">
        <v>3417657</v>
      </c>
      <c r="H19" s="18" t="s">
        <v>114</v>
      </c>
      <c r="I19" s="5">
        <v>0.3</v>
      </c>
      <c r="K19" s="19"/>
    </row>
    <row r="20" spans="1:11" x14ac:dyDescent="0.45">
      <c r="A20" t="s">
        <v>115</v>
      </c>
      <c r="B20" t="s">
        <v>5</v>
      </c>
      <c r="C20">
        <v>1668367</v>
      </c>
      <c r="H20" s="18" t="s">
        <v>116</v>
      </c>
      <c r="I20" s="5">
        <v>1.46</v>
      </c>
      <c r="K20" s="19"/>
    </row>
    <row r="21" spans="1:11" x14ac:dyDescent="0.45">
      <c r="A21" t="s">
        <v>117</v>
      </c>
      <c r="B21" t="s">
        <v>5</v>
      </c>
      <c r="C21">
        <v>1668342</v>
      </c>
      <c r="H21" s="18" t="s">
        <v>118</v>
      </c>
      <c r="I21" s="5">
        <v>1.1200000000000001</v>
      </c>
      <c r="K21" s="19"/>
    </row>
    <row r="22" spans="1:11" x14ac:dyDescent="0.45">
      <c r="A22" t="s">
        <v>65</v>
      </c>
      <c r="B22" t="s">
        <v>5</v>
      </c>
      <c r="C22">
        <v>2361512</v>
      </c>
      <c r="E22">
        <v>0</v>
      </c>
      <c r="F22">
        <f>D22+E22</f>
        <v>0</v>
      </c>
      <c r="G22">
        <f t="shared" si="2"/>
        <v>0</v>
      </c>
      <c r="H22" s="18" t="s">
        <v>9</v>
      </c>
      <c r="I22" s="5">
        <v>0.26800000000000002</v>
      </c>
      <c r="J22" s="5">
        <f>(D22+E22)*I22</f>
        <v>0</v>
      </c>
      <c r="K22" s="18" t="s">
        <v>42</v>
      </c>
    </row>
    <row r="23" spans="1:11" x14ac:dyDescent="0.45">
      <c r="A23" t="s">
        <v>66</v>
      </c>
      <c r="B23" t="s">
        <v>5</v>
      </c>
      <c r="C23">
        <v>1217769</v>
      </c>
      <c r="E23">
        <v>0</v>
      </c>
      <c r="F23">
        <f>D23+E23</f>
        <v>0</v>
      </c>
      <c r="G23">
        <f t="shared" si="2"/>
        <v>0</v>
      </c>
      <c r="H23" s="18" t="s">
        <v>19</v>
      </c>
      <c r="I23" s="5">
        <v>0.2</v>
      </c>
      <c r="J23" s="5">
        <f>(D23+E23)*I23</f>
        <v>0</v>
      </c>
      <c r="K23" s="19" t="s">
        <v>48</v>
      </c>
    </row>
    <row r="24" spans="1:11" x14ac:dyDescent="0.45">
      <c r="A24" t="s">
        <v>96</v>
      </c>
      <c r="B24" t="s">
        <v>5</v>
      </c>
      <c r="C24">
        <v>1467779</v>
      </c>
      <c r="E24">
        <v>1</v>
      </c>
      <c r="F24">
        <f>D24+E24</f>
        <v>1</v>
      </c>
      <c r="G24">
        <f t="shared" ref="G24" si="4">$G$3*F24</f>
        <v>50</v>
      </c>
      <c r="H24" s="18" t="s">
        <v>95</v>
      </c>
      <c r="I24" s="5">
        <v>0.28999999999999998</v>
      </c>
      <c r="J24" s="5">
        <f t="shared" ref="J24" si="5">F24*I24</f>
        <v>0.28999999999999998</v>
      </c>
    </row>
    <row r="25" spans="1:11" x14ac:dyDescent="0.45">
      <c r="A25" t="s">
        <v>54</v>
      </c>
      <c r="B25" t="s">
        <v>5</v>
      </c>
      <c r="C25">
        <v>1292246</v>
      </c>
      <c r="E25">
        <v>3</v>
      </c>
      <c r="F25">
        <f>D25+E25</f>
        <v>3</v>
      </c>
      <c r="G25">
        <f t="shared" si="2"/>
        <v>150</v>
      </c>
      <c r="H25" s="18" t="s">
        <v>38</v>
      </c>
      <c r="I25" s="5">
        <v>0.24099999999999999</v>
      </c>
      <c r="J25" s="5">
        <f>(D25+E25)*I25</f>
        <v>0.72299999999999998</v>
      </c>
    </row>
    <row r="26" spans="1:11" x14ac:dyDescent="0.45">
      <c r="A26" t="s">
        <v>99</v>
      </c>
      <c r="B26" t="s">
        <v>5</v>
      </c>
      <c r="C26">
        <v>1439452</v>
      </c>
      <c r="E26">
        <v>0</v>
      </c>
      <c r="F26">
        <f>D26+E26</f>
        <v>0</v>
      </c>
      <c r="G26">
        <f t="shared" si="2"/>
        <v>0</v>
      </c>
      <c r="H26" s="18" t="s">
        <v>97</v>
      </c>
      <c r="I26" s="5">
        <v>0.57399999999999995</v>
      </c>
      <c r="J26" s="5">
        <f>(D26+E26)*I26</f>
        <v>0</v>
      </c>
      <c r="K26" s="18" t="s">
        <v>98</v>
      </c>
    </row>
    <row r="27" spans="1:11" x14ac:dyDescent="0.45">
      <c r="A27" t="s">
        <v>55</v>
      </c>
      <c r="B27" t="s">
        <v>5</v>
      </c>
      <c r="C27">
        <v>1773502</v>
      </c>
      <c r="E27">
        <v>0</v>
      </c>
      <c r="F27">
        <f>D27+E27</f>
        <v>0</v>
      </c>
      <c r="G27">
        <f t="shared" si="2"/>
        <v>0</v>
      </c>
      <c r="H27" s="18" t="s">
        <v>10</v>
      </c>
      <c r="I27" s="5">
        <v>0.13</v>
      </c>
      <c r="J27" s="5">
        <f>(D27+E27)*I27</f>
        <v>0</v>
      </c>
    </row>
    <row r="28" spans="1:11" x14ac:dyDescent="0.45">
      <c r="A28" t="s">
        <v>101</v>
      </c>
      <c r="B28" t="s">
        <v>5</v>
      </c>
      <c r="C28">
        <v>1559158</v>
      </c>
      <c r="E28">
        <v>0</v>
      </c>
      <c r="F28">
        <f>D28+E28</f>
        <v>0</v>
      </c>
      <c r="G28">
        <f t="shared" si="2"/>
        <v>0</v>
      </c>
      <c r="H28" s="18" t="s">
        <v>100</v>
      </c>
      <c r="I28" s="5">
        <v>0.17399999999999999</v>
      </c>
      <c r="J28" s="5">
        <f>(D28+E28)*I28</f>
        <v>0</v>
      </c>
    </row>
    <row r="29" spans="1:11" x14ac:dyDescent="0.45">
      <c r="A29" t="s">
        <v>56</v>
      </c>
      <c r="B29" t="s">
        <v>5</v>
      </c>
      <c r="C29">
        <v>1907519</v>
      </c>
      <c r="E29">
        <v>1</v>
      </c>
      <c r="F29">
        <f>D29+E29</f>
        <v>1</v>
      </c>
      <c r="G29">
        <f t="shared" si="2"/>
        <v>50</v>
      </c>
      <c r="H29" s="18" t="s">
        <v>16</v>
      </c>
      <c r="I29" s="5">
        <v>0.35</v>
      </c>
      <c r="J29" s="5">
        <f>(D29+E29)*I29</f>
        <v>0.35</v>
      </c>
      <c r="K29" s="18" t="s">
        <v>13</v>
      </c>
    </row>
    <row r="30" spans="1:11" x14ac:dyDescent="0.45">
      <c r="A30" t="s">
        <v>57</v>
      </c>
      <c r="B30" t="s">
        <v>5</v>
      </c>
      <c r="C30">
        <v>2611940</v>
      </c>
      <c r="E30">
        <v>4</v>
      </c>
      <c r="F30">
        <f>D30+E30</f>
        <v>4</v>
      </c>
      <c r="G30">
        <f t="shared" si="2"/>
        <v>200</v>
      </c>
      <c r="H30" s="18" t="s">
        <v>40</v>
      </c>
      <c r="I30" s="5">
        <v>0.14499999999999999</v>
      </c>
      <c r="J30" s="5">
        <f>(D30+E30)*I30</f>
        <v>0.57999999999999996</v>
      </c>
      <c r="K30" s="18" t="s">
        <v>13</v>
      </c>
    </row>
    <row r="31" spans="1:11" x14ac:dyDescent="0.45">
      <c r="A31" t="s">
        <v>58</v>
      </c>
      <c r="B31" t="s">
        <v>5</v>
      </c>
      <c r="C31">
        <v>9227792</v>
      </c>
      <c r="E31">
        <v>10</v>
      </c>
      <c r="F31">
        <f>D31+E31</f>
        <v>10</v>
      </c>
      <c r="G31">
        <f t="shared" si="2"/>
        <v>500</v>
      </c>
      <c r="H31" s="18" t="s">
        <v>69</v>
      </c>
      <c r="I31" s="5">
        <v>0.06</v>
      </c>
      <c r="J31" s="5">
        <f>(D31+E31)*I31</f>
        <v>0.6</v>
      </c>
      <c r="K31" s="18" t="s">
        <v>41</v>
      </c>
    </row>
    <row r="32" spans="1:11" x14ac:dyDescent="0.45">
      <c r="A32" t="s">
        <v>68</v>
      </c>
      <c r="B32" t="s">
        <v>5</v>
      </c>
      <c r="C32">
        <v>1650866</v>
      </c>
      <c r="E32">
        <v>5</v>
      </c>
      <c r="F32">
        <f>D32+E32</f>
        <v>5</v>
      </c>
      <c r="G32">
        <f t="shared" si="2"/>
        <v>250</v>
      </c>
      <c r="H32" s="18" t="s">
        <v>14</v>
      </c>
      <c r="I32" s="5">
        <v>3.4700000000000002E-2</v>
      </c>
      <c r="J32" s="5">
        <f>(D32+E32)*I32</f>
        <v>0.17350000000000002</v>
      </c>
      <c r="K32" s="18" t="s">
        <v>41</v>
      </c>
    </row>
    <row r="33" spans="1:11" x14ac:dyDescent="0.45">
      <c r="A33" t="s">
        <v>67</v>
      </c>
      <c r="B33" t="s">
        <v>5</v>
      </c>
      <c r="C33">
        <v>2301284</v>
      </c>
      <c r="E33">
        <v>8</v>
      </c>
      <c r="F33">
        <f>D33+E33</f>
        <v>8</v>
      </c>
      <c r="G33">
        <f t="shared" si="2"/>
        <v>400</v>
      </c>
      <c r="H33" s="18" t="s">
        <v>15</v>
      </c>
      <c r="I33" s="5">
        <v>0.157</v>
      </c>
      <c r="J33" s="5">
        <f>(D33+E33)*I33</f>
        <v>1.256</v>
      </c>
      <c r="K33" s="18" t="s">
        <v>43</v>
      </c>
    </row>
    <row r="34" spans="1:11" x14ac:dyDescent="0.45">
      <c r="A34" t="s">
        <v>64</v>
      </c>
      <c r="B34" t="s">
        <v>5</v>
      </c>
      <c r="C34">
        <v>1593415</v>
      </c>
      <c r="E34">
        <v>1</v>
      </c>
      <c r="F34">
        <f>D34+E34</f>
        <v>1</v>
      </c>
      <c r="G34">
        <f t="shared" si="2"/>
        <v>50</v>
      </c>
      <c r="H34" s="18" t="s">
        <v>32</v>
      </c>
      <c r="I34" s="5">
        <v>3.9300000000000002E-2</v>
      </c>
      <c r="J34" s="5">
        <f>(D34+E34)*I34</f>
        <v>3.9300000000000002E-2</v>
      </c>
      <c r="K34" s="18" t="s">
        <v>59</v>
      </c>
    </row>
    <row r="35" spans="1:11" x14ac:dyDescent="0.45">
      <c r="A35" t="s">
        <v>102</v>
      </c>
      <c r="B35" t="s">
        <v>5</v>
      </c>
      <c r="C35" s="6">
        <v>2432720</v>
      </c>
      <c r="E35">
        <v>0</v>
      </c>
      <c r="F35">
        <f>D35+E35</f>
        <v>0</v>
      </c>
      <c r="G35">
        <f t="shared" ref="G35" si="6">$G$3*F35</f>
        <v>0</v>
      </c>
      <c r="H35" s="18" t="s">
        <v>103</v>
      </c>
      <c r="I35" s="5">
        <v>7.3000000000000001E-3</v>
      </c>
      <c r="J35" s="5">
        <f>(D35+E35)*I35</f>
        <v>0</v>
      </c>
    </row>
    <row r="36" spans="1:11" x14ac:dyDescent="0.45">
      <c r="A36" t="s">
        <v>119</v>
      </c>
      <c r="B36" t="s">
        <v>5</v>
      </c>
      <c r="C36" s="6">
        <v>2472710</v>
      </c>
      <c r="H36" s="18" t="s">
        <v>120</v>
      </c>
      <c r="I36" s="5">
        <v>16.05</v>
      </c>
      <c r="K36" s="18" t="s">
        <v>123</v>
      </c>
    </row>
    <row r="37" spans="1:11" x14ac:dyDescent="0.45">
      <c r="A37" t="s">
        <v>121</v>
      </c>
      <c r="B37" t="s">
        <v>5</v>
      </c>
      <c r="C37" s="6">
        <v>2472687</v>
      </c>
      <c r="H37" s="18" t="s">
        <v>122</v>
      </c>
      <c r="I37" s="5">
        <v>13.4</v>
      </c>
      <c r="K37" s="18" t="s">
        <v>123</v>
      </c>
    </row>
    <row r="38" spans="1:11" ht="28.5" x14ac:dyDescent="0.45">
      <c r="A38" t="s">
        <v>90</v>
      </c>
      <c r="B38" t="s">
        <v>7</v>
      </c>
      <c r="C38" s="6" t="s">
        <v>81</v>
      </c>
      <c r="E38">
        <v>1</v>
      </c>
      <c r="F38">
        <f>D38+E38</f>
        <v>1</v>
      </c>
      <c r="G38">
        <f t="shared" si="2"/>
        <v>50</v>
      </c>
      <c r="H38" s="20" t="s">
        <v>70</v>
      </c>
      <c r="I38" s="5">
        <v>23.27</v>
      </c>
      <c r="J38" s="5">
        <f>F38*I38</f>
        <v>23.27</v>
      </c>
      <c r="K38" s="18" t="s">
        <v>71</v>
      </c>
    </row>
    <row r="39" spans="1:11" x14ac:dyDescent="0.45">
      <c r="A39" t="s">
        <v>91</v>
      </c>
      <c r="B39" t="s">
        <v>7</v>
      </c>
      <c r="C39" t="s">
        <v>92</v>
      </c>
      <c r="E39">
        <v>0</v>
      </c>
      <c r="F39">
        <f>D39+E39</f>
        <v>0</v>
      </c>
      <c r="G39">
        <f t="shared" si="2"/>
        <v>0</v>
      </c>
      <c r="H39" s="18" t="s">
        <v>93</v>
      </c>
      <c r="I39" s="5">
        <v>14.11</v>
      </c>
      <c r="J39" s="5">
        <f t="shared" ref="J39" si="7">F39*I39</f>
        <v>0</v>
      </c>
      <c r="K39" s="18" t="s">
        <v>94</v>
      </c>
    </row>
    <row r="43" spans="1:11" x14ac:dyDescent="0.45">
      <c r="B43" t="s">
        <v>26</v>
      </c>
      <c r="E43">
        <v>3</v>
      </c>
      <c r="F43">
        <f>D43+E43</f>
        <v>3</v>
      </c>
      <c r="G43">
        <f t="shared" si="2"/>
        <v>150</v>
      </c>
      <c r="H43" s="18" t="s">
        <v>11</v>
      </c>
      <c r="I43" s="5">
        <v>0.1</v>
      </c>
      <c r="J43" s="5">
        <f t="shared" ref="J43:J45" si="8">F43*I43</f>
        <v>0.30000000000000004</v>
      </c>
    </row>
    <row r="44" spans="1:11" x14ac:dyDescent="0.45">
      <c r="B44" t="s">
        <v>26</v>
      </c>
      <c r="E44">
        <v>20</v>
      </c>
      <c r="F44">
        <f>D44+E44</f>
        <v>20</v>
      </c>
      <c r="G44">
        <f t="shared" si="2"/>
        <v>1000</v>
      </c>
      <c r="H44" s="18" t="s">
        <v>110</v>
      </c>
      <c r="I44" s="5">
        <v>0.02</v>
      </c>
      <c r="J44" s="5">
        <f t="shared" si="8"/>
        <v>0.4</v>
      </c>
    </row>
    <row r="45" spans="1:11" x14ac:dyDescent="0.45">
      <c r="B45" t="s">
        <v>26</v>
      </c>
      <c r="E45">
        <v>10</v>
      </c>
      <c r="F45">
        <f>D45+E45</f>
        <v>10</v>
      </c>
      <c r="G45">
        <f t="shared" si="2"/>
        <v>500</v>
      </c>
      <c r="H45" s="18" t="s">
        <v>49</v>
      </c>
      <c r="I45" s="5">
        <v>0.04</v>
      </c>
      <c r="J45" s="5">
        <f t="shared" si="8"/>
        <v>0.4</v>
      </c>
    </row>
  </sheetData>
  <mergeCells count="1">
    <mergeCell ref="D3:F3"/>
  </mergeCells>
  <phoneticPr fontId="4" type="noConversion"/>
  <printOptions gridLines="1"/>
  <pageMargins left="0.70866141732283472" right="0.70866141732283472" top="0.74803149606299213" bottom="0.74803149606299213" header="0.31496062992125984" footer="0.31496062992125984"/>
  <pageSetup paperSize="8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"/>
  <sheetViews>
    <sheetView zoomScale="90" zoomScaleNormal="90" workbookViewId="0">
      <pane ySplit="1560" topLeftCell="A4" activePane="bottomLeft"/>
      <selection activeCell="D2" sqref="D2"/>
      <selection pane="bottomLeft"/>
    </sheetView>
  </sheetViews>
  <sheetFormatPr baseColWidth="10" defaultColWidth="8.86328125" defaultRowHeight="14.25" x14ac:dyDescent="0.45"/>
  <cols>
    <col min="1" max="1" width="10.59765625" bestFit="1" customWidth="1"/>
    <col min="2" max="2" width="12.265625" bestFit="1" customWidth="1"/>
    <col min="3" max="3" width="12.86328125" customWidth="1"/>
    <col min="4" max="4" width="112.59765625" bestFit="1" customWidth="1"/>
    <col min="5" max="5" width="9.73046875" style="5" bestFit="1" customWidth="1"/>
    <col min="6" max="6" width="6" style="5" bestFit="1" customWidth="1"/>
    <col min="7" max="7" width="45.73046875" customWidth="1"/>
  </cols>
  <sheetData>
    <row r="1" spans="1:7" s="11" customFormat="1" ht="25.5" x14ac:dyDescent="0.75">
      <c r="A1" s="11" t="s">
        <v>18</v>
      </c>
      <c r="D1" s="11" t="s">
        <v>34</v>
      </c>
      <c r="E1" s="12"/>
      <c r="F1" s="12"/>
    </row>
    <row r="2" spans="1:7" s="7" customFormat="1" x14ac:dyDescent="0.45">
      <c r="C2" s="8"/>
      <c r="E2" s="9"/>
      <c r="F2" s="10"/>
    </row>
    <row r="3" spans="1:7" ht="28.5" x14ac:dyDescent="0.45">
      <c r="A3" s="1" t="s">
        <v>0</v>
      </c>
      <c r="B3" s="1" t="s">
        <v>1</v>
      </c>
      <c r="C3" s="2" t="s">
        <v>33</v>
      </c>
      <c r="D3" s="1" t="s">
        <v>2</v>
      </c>
      <c r="E3" s="3" t="s">
        <v>17</v>
      </c>
      <c r="F3" s="4" t="s">
        <v>3</v>
      </c>
      <c r="G3" s="1" t="s">
        <v>8</v>
      </c>
    </row>
    <row r="4" spans="1:7" s="7" customFormat="1" x14ac:dyDescent="0.45">
      <c r="C4" s="8"/>
      <c r="E4" s="9"/>
      <c r="F4" s="10"/>
    </row>
    <row r="5" spans="1:7" x14ac:dyDescent="0.45">
      <c r="A5" t="s">
        <v>4</v>
      </c>
      <c r="B5" t="s">
        <v>24</v>
      </c>
      <c r="C5">
        <v>1</v>
      </c>
      <c r="D5" t="s">
        <v>35</v>
      </c>
      <c r="E5" s="5">
        <v>0.27489999999999998</v>
      </c>
      <c r="F5" s="5">
        <f t="shared" ref="F5" si="0">C5*E5</f>
        <v>0.27489999999999998</v>
      </c>
      <c r="G5" s="1"/>
    </row>
    <row r="6" spans="1:7" x14ac:dyDescent="0.45">
      <c r="A6" t="s">
        <v>4</v>
      </c>
      <c r="F6" s="5">
        <f t="shared" ref="F6" si="1">C6*E6</f>
        <v>0</v>
      </c>
      <c r="G6" s="1"/>
    </row>
    <row r="8" spans="1:7" x14ac:dyDescent="0.45">
      <c r="A8" t="s">
        <v>5</v>
      </c>
      <c r="B8">
        <v>1191725</v>
      </c>
      <c r="C8">
        <v>1</v>
      </c>
      <c r="D8" t="s">
        <v>28</v>
      </c>
      <c r="E8" s="5">
        <v>0.72399999999999998</v>
      </c>
      <c r="F8" s="5">
        <f t="shared" ref="F8:F12" si="2">C8*E8</f>
        <v>0.72399999999999998</v>
      </c>
    </row>
    <row r="9" spans="1:7" x14ac:dyDescent="0.45">
      <c r="A9" t="s">
        <v>5</v>
      </c>
      <c r="B9">
        <v>3259745</v>
      </c>
      <c r="C9">
        <v>1</v>
      </c>
      <c r="D9" t="s">
        <v>29</v>
      </c>
      <c r="E9" s="5">
        <v>0.48599999999999999</v>
      </c>
      <c r="F9" s="5">
        <f t="shared" si="2"/>
        <v>0.48599999999999999</v>
      </c>
    </row>
    <row r="10" spans="1:7" x14ac:dyDescent="0.45">
      <c r="A10" t="s">
        <v>5</v>
      </c>
      <c r="B10">
        <v>1593495</v>
      </c>
      <c r="C10">
        <v>1</v>
      </c>
      <c r="D10" t="s">
        <v>30</v>
      </c>
      <c r="E10" s="5">
        <v>0.59899999999999998</v>
      </c>
      <c r="F10" s="5">
        <f t="shared" si="2"/>
        <v>0.59899999999999998</v>
      </c>
    </row>
    <row r="11" spans="1:7" x14ac:dyDescent="0.45">
      <c r="A11" t="s">
        <v>5</v>
      </c>
      <c r="B11">
        <v>1593415</v>
      </c>
      <c r="C11">
        <v>1</v>
      </c>
      <c r="D11" t="s">
        <v>32</v>
      </c>
      <c r="E11" s="5">
        <v>3.9300000000000002E-2</v>
      </c>
      <c r="F11" s="5">
        <f t="shared" si="2"/>
        <v>3.9300000000000002E-2</v>
      </c>
    </row>
    <row r="12" spans="1:7" x14ac:dyDescent="0.45">
      <c r="A12" t="s">
        <v>5</v>
      </c>
      <c r="B12">
        <v>9527710</v>
      </c>
      <c r="C12">
        <v>1</v>
      </c>
      <c r="D12" t="s">
        <v>20</v>
      </c>
      <c r="E12" s="5">
        <v>0.06</v>
      </c>
      <c r="F12" s="5">
        <f t="shared" si="2"/>
        <v>0.06</v>
      </c>
    </row>
    <row r="13" spans="1:7" x14ac:dyDescent="0.45">
      <c r="A13" t="s">
        <v>5</v>
      </c>
      <c r="F13" s="5">
        <f t="shared" ref="F13:F21" si="3">C13*E13</f>
        <v>0</v>
      </c>
    </row>
    <row r="15" spans="1:7" x14ac:dyDescent="0.45">
      <c r="A15" t="s">
        <v>6</v>
      </c>
      <c r="F15" s="5">
        <f t="shared" si="3"/>
        <v>0</v>
      </c>
    </row>
    <row r="17" spans="1:6" x14ac:dyDescent="0.45">
      <c r="A17" t="s">
        <v>7</v>
      </c>
      <c r="F17" s="5">
        <f t="shared" si="3"/>
        <v>0</v>
      </c>
    </row>
    <row r="19" spans="1:6" x14ac:dyDescent="0.45">
      <c r="A19" t="s">
        <v>26</v>
      </c>
      <c r="C19">
        <v>2</v>
      </c>
      <c r="D19" t="s">
        <v>31</v>
      </c>
      <c r="E19" s="5">
        <v>0.02</v>
      </c>
      <c r="F19" s="5">
        <f t="shared" ref="F19" si="4">C19*E19</f>
        <v>0.04</v>
      </c>
    </row>
    <row r="21" spans="1:6" x14ac:dyDescent="0.45">
      <c r="A21" t="s">
        <v>22</v>
      </c>
      <c r="C21">
        <v>1</v>
      </c>
      <c r="D21" t="s">
        <v>27</v>
      </c>
      <c r="E21" s="5">
        <v>10</v>
      </c>
      <c r="F21" s="5">
        <f t="shared" si="3"/>
        <v>10</v>
      </c>
    </row>
    <row r="24" spans="1:6" x14ac:dyDescent="0.45">
      <c r="A24" t="s">
        <v>3</v>
      </c>
      <c r="F24" s="5">
        <f>SUM(F4:F23)</f>
        <v>12.2232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73BC4-6795-4CC2-90A7-552279512D4A}">
  <dimension ref="A1:G20"/>
  <sheetViews>
    <sheetView topLeftCell="A3" zoomScale="90" zoomScaleNormal="90" workbookViewId="0">
      <pane ySplit="1545" topLeftCell="A4" activePane="bottomLeft"/>
      <selection activeCell="C4" sqref="C4"/>
      <selection pane="bottomLeft" activeCell="D19" sqref="D19"/>
    </sheetView>
  </sheetViews>
  <sheetFormatPr baseColWidth="10" defaultColWidth="8.86328125" defaultRowHeight="14.25" x14ac:dyDescent="0.45"/>
  <cols>
    <col min="1" max="1" width="10.59765625" bestFit="1" customWidth="1"/>
    <col min="2" max="2" width="12.265625" bestFit="1" customWidth="1"/>
    <col min="3" max="3" width="16.59765625" customWidth="1"/>
    <col min="4" max="4" width="112.59765625" bestFit="1" customWidth="1"/>
    <col min="5" max="5" width="9.73046875" style="5" bestFit="1" customWidth="1"/>
    <col min="6" max="6" width="6" style="5" bestFit="1" customWidth="1"/>
    <col min="7" max="7" width="45.73046875" customWidth="1"/>
  </cols>
  <sheetData>
    <row r="1" spans="1:7" s="11" customFormat="1" ht="25.5" x14ac:dyDescent="0.75">
      <c r="A1" s="11" t="s">
        <v>18</v>
      </c>
      <c r="D1" s="11" t="s">
        <v>82</v>
      </c>
      <c r="E1" s="12"/>
      <c r="F1" s="12"/>
    </row>
    <row r="2" spans="1:7" s="7" customFormat="1" x14ac:dyDescent="0.45">
      <c r="C2" s="8"/>
      <c r="E2" s="9"/>
      <c r="F2" s="10"/>
    </row>
    <row r="3" spans="1:7" ht="28.5" x14ac:dyDescent="0.45">
      <c r="A3" s="1" t="s">
        <v>0</v>
      </c>
      <c r="B3" s="1" t="s">
        <v>1</v>
      </c>
      <c r="C3" s="2" t="s">
        <v>83</v>
      </c>
      <c r="D3" s="1" t="s">
        <v>2</v>
      </c>
      <c r="E3" s="3" t="s">
        <v>17</v>
      </c>
      <c r="F3" s="4" t="s">
        <v>3</v>
      </c>
      <c r="G3" s="1" t="s">
        <v>8</v>
      </c>
    </row>
    <row r="4" spans="1:7" s="7" customFormat="1" x14ac:dyDescent="0.45">
      <c r="C4" s="8"/>
      <c r="E4" s="9"/>
      <c r="F4" s="10"/>
    </row>
    <row r="5" spans="1:7" x14ac:dyDescent="0.45">
      <c r="A5" t="s">
        <v>4</v>
      </c>
      <c r="F5" s="5">
        <f t="shared" ref="F5" si="0">C5*E5</f>
        <v>0</v>
      </c>
      <c r="G5" s="1"/>
    </row>
    <row r="7" spans="1:7" x14ac:dyDescent="0.45">
      <c r="A7" t="s">
        <v>5</v>
      </c>
      <c r="B7">
        <v>2356216</v>
      </c>
      <c r="C7">
        <v>1</v>
      </c>
      <c r="D7" t="s">
        <v>84</v>
      </c>
      <c r="E7" s="5">
        <v>2.35</v>
      </c>
      <c r="F7" s="5">
        <f t="shared" ref="F7:F17" si="1">C7*E7</f>
        <v>2.35</v>
      </c>
    </row>
    <row r="8" spans="1:7" x14ac:dyDescent="0.45">
      <c r="A8" t="s">
        <v>5</v>
      </c>
      <c r="B8">
        <v>3584712</v>
      </c>
      <c r="C8">
        <v>1</v>
      </c>
      <c r="D8" t="s">
        <v>85</v>
      </c>
      <c r="E8" s="5">
        <v>5.24</v>
      </c>
      <c r="F8" s="5">
        <f t="shared" si="1"/>
        <v>5.24</v>
      </c>
    </row>
    <row r="9" spans="1:7" x14ac:dyDescent="0.45">
      <c r="A9" t="s">
        <v>5</v>
      </c>
      <c r="F9" s="5">
        <f t="shared" si="1"/>
        <v>0</v>
      </c>
    </row>
    <row r="11" spans="1:7" x14ac:dyDescent="0.45">
      <c r="A11" t="s">
        <v>6</v>
      </c>
      <c r="F11" s="5">
        <f t="shared" si="1"/>
        <v>0</v>
      </c>
    </row>
    <row r="13" spans="1:7" x14ac:dyDescent="0.45">
      <c r="A13" t="s">
        <v>7</v>
      </c>
      <c r="F13" s="5">
        <f t="shared" si="1"/>
        <v>0</v>
      </c>
    </row>
    <row r="15" spans="1:7" x14ac:dyDescent="0.45">
      <c r="A15" t="s">
        <v>26</v>
      </c>
      <c r="F15" s="5">
        <f t="shared" ref="F15" si="2">C15*E15</f>
        <v>0</v>
      </c>
    </row>
    <row r="17" spans="1:6" x14ac:dyDescent="0.45">
      <c r="A17" t="s">
        <v>22</v>
      </c>
      <c r="F17" s="5">
        <f t="shared" si="1"/>
        <v>0</v>
      </c>
    </row>
    <row r="20" spans="1:6" x14ac:dyDescent="0.45">
      <c r="A20" t="s">
        <v>3</v>
      </c>
      <c r="F20" s="5">
        <f>SUM(F4:F19)</f>
        <v>7.59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PM3+4</vt:lpstr>
      <vt:lpstr>Demo-Board</vt:lpstr>
      <vt:lpstr>Connector-PCB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hanspeter</dc:creator>
  <cp:lastModifiedBy>Ehrensperger Andreas (eand)</cp:lastModifiedBy>
  <cp:lastPrinted>2021-08-09T07:00:17Z</cp:lastPrinted>
  <dcterms:created xsi:type="dcterms:W3CDTF">2015-06-05T18:19:34Z</dcterms:created>
  <dcterms:modified xsi:type="dcterms:W3CDTF">2026-03-11T14:15:16Z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0d9bad3-6dac-4e9a-89a3-89f3b8d247b2_Enabled">
    <vt:lpwstr>true</vt:lpwstr>
  </property>
  <property fmtid="{D5CDD505-2E9C-101B-9397-08002B2CF9AE}" pid="3" name="MSIP_Label_10d9bad3-6dac-4e9a-89a3-89f3b8d247b2_SetDate">
    <vt:lpwstr>2021-07-26T13:06:59Z</vt:lpwstr>
  </property>
  <property fmtid="{D5CDD505-2E9C-101B-9397-08002B2CF9AE}" pid="4" name="MSIP_Label_10d9bad3-6dac-4e9a-89a3-89f3b8d247b2_Method">
    <vt:lpwstr>Standard</vt:lpwstr>
  </property>
  <property fmtid="{D5CDD505-2E9C-101B-9397-08002B2CF9AE}" pid="5" name="MSIP_Label_10d9bad3-6dac-4e9a-89a3-89f3b8d247b2_Name">
    <vt:lpwstr>10d9bad3-6dac-4e9a-89a3-89f3b8d247b2</vt:lpwstr>
  </property>
  <property fmtid="{D5CDD505-2E9C-101B-9397-08002B2CF9AE}" pid="6" name="MSIP_Label_10d9bad3-6dac-4e9a-89a3-89f3b8d247b2_SiteId">
    <vt:lpwstr>5d1a9f9d-201f-4a10-b983-451cf65cbc1e</vt:lpwstr>
  </property>
  <property fmtid="{D5CDD505-2E9C-101B-9397-08002B2CF9AE}" pid="7" name="MSIP_Label_10d9bad3-6dac-4e9a-89a3-89f3b8d247b2_ActionId">
    <vt:lpwstr>97ac56e2-62f4-49c7-b346-24d9797b5f8f</vt:lpwstr>
  </property>
  <property fmtid="{D5CDD505-2E9C-101B-9397-08002B2CF9AE}" pid="8" name="MSIP_Label_10d9bad3-6dac-4e9a-89a3-89f3b8d247b2_ContentBits">
    <vt:lpwstr>0</vt:lpwstr>
  </property>
</Properties>
</file>