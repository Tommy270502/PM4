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F51A8D12-71A6-41DF-BB80-62EA5DEAA9A2}" xr6:coauthVersionLast="47" xr6:coauthVersionMax="47" xr10:uidLastSave="{00000000-0000-0000-0000-000000000000}"/>
  <bookViews>
    <workbookView xWindow="-120" yWindow="-120" windowWidth="245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8" i="1" s="1"/>
  <c r="F46" i="1"/>
  <c r="E12" i="1"/>
  <c r="F12" i="1" s="1"/>
  <c r="E11" i="1"/>
  <c r="F10" i="1"/>
  <c r="F48" i="1" l="1"/>
  <c r="E49" i="1"/>
  <c r="F47" i="1"/>
  <c r="E13" i="1"/>
  <c r="F11" i="1"/>
  <c r="E50" i="1" l="1"/>
  <c r="F49" i="1"/>
  <c r="F13" i="1"/>
  <c r="E14" i="1"/>
  <c r="F50" i="1" l="1"/>
  <c r="E51" i="1"/>
  <c r="F14" i="1"/>
  <c r="E15" i="1"/>
  <c r="F51" i="1" l="1"/>
  <c r="E52" i="1"/>
  <c r="F15" i="1"/>
  <c r="E16" i="1"/>
  <c r="F52" i="1" l="1"/>
  <c r="E53" i="1"/>
  <c r="F16" i="1"/>
  <c r="E17" i="1"/>
  <c r="E54" i="1" l="1"/>
  <c r="F53" i="1"/>
  <c r="F17" i="1"/>
  <c r="E18" i="1"/>
  <c r="F54" i="1" l="1"/>
  <c r="E55" i="1"/>
  <c r="E19" i="1"/>
  <c r="F18" i="1"/>
  <c r="E56" i="1" l="1"/>
  <c r="F55" i="1"/>
  <c r="F19" i="1"/>
  <c r="E20" i="1"/>
  <c r="F56" i="1" l="1"/>
  <c r="E57" i="1"/>
  <c r="F20" i="1"/>
  <c r="E21" i="1"/>
  <c r="E58" i="1" l="1"/>
  <c r="F57" i="1"/>
  <c r="F21" i="1"/>
  <c r="E22" i="1"/>
  <c r="F58" i="1" l="1"/>
  <c r="E59" i="1"/>
  <c r="E23" i="1"/>
  <c r="F22" i="1"/>
  <c r="F59" i="1" l="1"/>
  <c r="E60" i="1"/>
  <c r="E24" i="1"/>
  <c r="F23" i="1"/>
  <c r="F60" i="1" l="1"/>
  <c r="E61" i="1"/>
  <c r="F24" i="1"/>
  <c r="E25" i="1"/>
  <c r="E62" i="1" l="1"/>
  <c r="F61" i="1"/>
  <c r="F25" i="1"/>
  <c r="E26" i="1"/>
  <c r="F62" i="1" l="1"/>
  <c r="E63" i="1"/>
  <c r="E27" i="1"/>
  <c r="F26" i="1"/>
  <c r="E64" i="1" l="1"/>
  <c r="F63" i="1"/>
  <c r="E28" i="1"/>
  <c r="F27" i="1"/>
  <c r="F64" i="1" l="1"/>
  <c r="E65" i="1"/>
  <c r="F28" i="1"/>
  <c r="E29" i="1"/>
  <c r="E66" i="1" l="1"/>
  <c r="F65" i="1"/>
  <c r="F29" i="1"/>
  <c r="E30" i="1"/>
  <c r="F66" i="1" l="1"/>
  <c r="E67" i="1"/>
  <c r="F30" i="1"/>
  <c r="E31" i="1"/>
  <c r="F67" i="1" l="1"/>
  <c r="E68" i="1"/>
  <c r="F31" i="1"/>
  <c r="E32" i="1"/>
  <c r="F68" i="1" l="1"/>
  <c r="E69" i="1"/>
  <c r="F32" i="1"/>
  <c r="E33" i="1"/>
  <c r="E70" i="1" l="1"/>
  <c r="F69" i="1"/>
  <c r="F33" i="1"/>
  <c r="E34" i="1"/>
  <c r="F70" i="1" l="1"/>
  <c r="E71" i="1"/>
  <c r="E35" i="1"/>
  <c r="F34" i="1"/>
  <c r="E72" i="1" l="1"/>
  <c r="F71" i="1"/>
  <c r="F35" i="1"/>
  <c r="E36" i="1"/>
  <c r="F72" i="1" l="1"/>
  <c r="E73" i="1"/>
  <c r="F36" i="1"/>
  <c r="E37" i="1"/>
  <c r="E74" i="1" l="1"/>
  <c r="F73" i="1"/>
  <c r="F37" i="1"/>
  <c r="E38" i="1"/>
  <c r="F74" i="1" l="1"/>
  <c r="E75" i="1"/>
  <c r="E39" i="1"/>
  <c r="F38" i="1"/>
  <c r="F75" i="1" l="1"/>
  <c r="E76" i="1"/>
  <c r="F39" i="1"/>
  <c r="E40" i="1"/>
  <c r="F76" i="1" l="1"/>
  <c r="E77" i="1"/>
  <c r="F77" i="1" s="1"/>
  <c r="F40" i="1"/>
  <c r="E41" i="1"/>
  <c r="F41" i="1" s="1"/>
</calcChain>
</file>

<file path=xl/sharedStrings.xml><?xml version="1.0" encoding="utf-8"?>
<sst xmlns="http://schemas.openxmlformats.org/spreadsheetml/2006/main" count="299" uniqueCount="242">
  <si>
    <t>5V</t>
  </si>
  <si>
    <t>PF4</t>
  </si>
  <si>
    <t>PF2</t>
  </si>
  <si>
    <t>PF0</t>
  </si>
  <si>
    <t>PC14</t>
  </si>
  <si>
    <t>PE6</t>
  </si>
  <si>
    <t>PE4</t>
  </si>
  <si>
    <t>PE2</t>
  </si>
  <si>
    <t>PE0</t>
  </si>
  <si>
    <t>PB8</t>
  </si>
  <si>
    <t>BOOT0</t>
  </si>
  <si>
    <t>PB6</t>
  </si>
  <si>
    <t>PB4</t>
  </si>
  <si>
    <t>PG15</t>
  </si>
  <si>
    <t>PG13</t>
  </si>
  <si>
    <t>PG11</t>
  </si>
  <si>
    <t>PG9</t>
  </si>
  <si>
    <t>PD7</t>
  </si>
  <si>
    <t>PD5</t>
  </si>
  <si>
    <t>PD13</t>
  </si>
  <si>
    <t>PD3</t>
  </si>
  <si>
    <t>PD1</t>
  </si>
  <si>
    <t>PC12</t>
  </si>
  <si>
    <t>PC10</t>
  </si>
  <si>
    <t>PA14</t>
  </si>
  <si>
    <t>PA12</t>
  </si>
  <si>
    <t>PA10</t>
  </si>
  <si>
    <t>PA8</t>
  </si>
  <si>
    <t>PC8</t>
  </si>
  <si>
    <t>PC6</t>
  </si>
  <si>
    <t>PG7</t>
  </si>
  <si>
    <t>PG5</t>
  </si>
  <si>
    <t>GND</t>
  </si>
  <si>
    <t>PF5</t>
  </si>
  <si>
    <t>PF3</t>
  </si>
  <si>
    <t>PF1</t>
  </si>
  <si>
    <t>PC15</t>
  </si>
  <si>
    <t>PC13</t>
  </si>
  <si>
    <t>PE5</t>
  </si>
  <si>
    <t>PE3</t>
  </si>
  <si>
    <t>PE1</t>
  </si>
  <si>
    <t>PB9</t>
  </si>
  <si>
    <t>VDD</t>
  </si>
  <si>
    <t>PB7</t>
  </si>
  <si>
    <t>PB5</t>
  </si>
  <si>
    <t>PB3</t>
  </si>
  <si>
    <t>PG14</t>
  </si>
  <si>
    <t>PG12</t>
  </si>
  <si>
    <t>PG10</t>
  </si>
  <si>
    <t>PD6</t>
  </si>
  <si>
    <t>PD4</t>
  </si>
  <si>
    <t>PD2</t>
  </si>
  <si>
    <t>PD0</t>
  </si>
  <si>
    <t>PC11</t>
  </si>
  <si>
    <t>PA15</t>
  </si>
  <si>
    <t>PA13</t>
  </si>
  <si>
    <t>PA11</t>
  </si>
  <si>
    <t>PC9</t>
  </si>
  <si>
    <t>PC7</t>
  </si>
  <si>
    <t>PG8</t>
  </si>
  <si>
    <t>PG6</t>
  </si>
  <si>
    <t>PG4</t>
  </si>
  <si>
    <t>PA9</t>
  </si>
  <si>
    <t>3V</t>
  </si>
  <si>
    <t>PF6</t>
  </si>
  <si>
    <t>PF8</t>
  </si>
  <si>
    <t>PF10</t>
  </si>
  <si>
    <t>PH1</t>
  </si>
  <si>
    <t>PC1</t>
  </si>
  <si>
    <t>PC3</t>
  </si>
  <si>
    <t>PA1</t>
  </si>
  <si>
    <t>PA3</t>
  </si>
  <si>
    <t>PA5</t>
  </si>
  <si>
    <t>PA7</t>
  </si>
  <si>
    <t>PC5</t>
  </si>
  <si>
    <t>PB1</t>
  </si>
  <si>
    <t>PF12</t>
  </si>
  <si>
    <t>PF14</t>
  </si>
  <si>
    <t>PG0</t>
  </si>
  <si>
    <t>PE7</t>
  </si>
  <si>
    <t>PE9</t>
  </si>
  <si>
    <t>PE11</t>
  </si>
  <si>
    <t>PE13</t>
  </si>
  <si>
    <t>PE15</t>
  </si>
  <si>
    <t>PB11</t>
  </si>
  <si>
    <t>PB13</t>
  </si>
  <si>
    <t>(PB15)</t>
  </si>
  <si>
    <t>PD9</t>
  </si>
  <si>
    <t>PD11</t>
  </si>
  <si>
    <t>PD15</t>
  </si>
  <si>
    <t>PG3</t>
  </si>
  <si>
    <t>NC</t>
  </si>
  <si>
    <t>PF7</t>
  </si>
  <si>
    <t>PF9</t>
  </si>
  <si>
    <t>PH0</t>
  </si>
  <si>
    <t>NRST</t>
  </si>
  <si>
    <t>PC0</t>
  </si>
  <si>
    <t>PC2</t>
  </si>
  <si>
    <t>PA0</t>
  </si>
  <si>
    <t>PA2</t>
  </si>
  <si>
    <t>PA4</t>
  </si>
  <si>
    <t>PA6</t>
  </si>
  <si>
    <t>PC4</t>
  </si>
  <si>
    <t>PB0</t>
  </si>
  <si>
    <t>PF11</t>
  </si>
  <si>
    <t>PF13</t>
  </si>
  <si>
    <t>PF15</t>
  </si>
  <si>
    <t>PG1</t>
  </si>
  <si>
    <t>PE8</t>
  </si>
  <si>
    <t>PE10</t>
  </si>
  <si>
    <t>PE12</t>
  </si>
  <si>
    <t>PE14</t>
  </si>
  <si>
    <t>PB10</t>
  </si>
  <si>
    <t>PB12</t>
  </si>
  <si>
    <t>(PB14)</t>
  </si>
  <si>
    <t>PB2 (BOOT1)</t>
  </si>
  <si>
    <t>PD8</t>
  </si>
  <si>
    <t>PD10</t>
  </si>
  <si>
    <t>PD12</t>
  </si>
  <si>
    <t>PD14</t>
  </si>
  <si>
    <t>PG2</t>
  </si>
  <si>
    <t>Main
function</t>
  </si>
  <si>
    <t>Board
function</t>
  </si>
  <si>
    <t>Extension Connector P2</t>
  </si>
  <si>
    <t>SWDIO</t>
  </si>
  <si>
    <t>SWCLK</t>
  </si>
  <si>
    <t>BOOT1</t>
  </si>
  <si>
    <t>SWO</t>
  </si>
  <si>
    <t>OSC32_IN</t>
  </si>
  <si>
    <t>OSC32_OUT</t>
  </si>
  <si>
    <t>OSC_IN</t>
  </si>
  <si>
    <t>OSC_OUT</t>
  </si>
  <si>
    <t>USART1_RX (VCP)</t>
  </si>
  <si>
    <t>USART1_TX (VCP)</t>
  </si>
  <si>
    <t>LCD</t>
  </si>
  <si>
    <t>LCD, GYRO</t>
  </si>
  <si>
    <t>USB</t>
  </si>
  <si>
    <t>PushButton</t>
  </si>
  <si>
    <t>I2C_EXT</t>
  </si>
  <si>
    <t>I2C_EXT, TOUCH</t>
  </si>
  <si>
    <t>TOUCH</t>
  </si>
  <si>
    <t>TIM9_CH2, SPI4_MOSI, SAI1_SD_A</t>
  </si>
  <si>
    <t>SPI4_NSS, SAI1_FS_A</t>
  </si>
  <si>
    <t>SPI4_SCK, SAI1_MCLK_A</t>
  </si>
  <si>
    <t>SAI1_SD_B</t>
  </si>
  <si>
    <t>TIM4_CH2, I2C1_SDA, USART1_RX</t>
  </si>
  <si>
    <t>TIM3_CH1,SPI1_MISO, SPI3_MISO, I2S3EXT_SD</t>
  </si>
  <si>
    <t>USART6_RX</t>
  </si>
  <si>
    <t>USART2_CK</t>
  </si>
  <si>
    <t>USART2_TX</t>
  </si>
  <si>
    <t>USART2_RTS</t>
  </si>
  <si>
    <t>TIM3_ETR</t>
  </si>
  <si>
    <t>CAN1_RX</t>
  </si>
  <si>
    <t>CAN1_TX</t>
  </si>
  <si>
    <t>I2S3EXT_SD, SPI3_MISO,USART3_RX, UART4_RX</t>
  </si>
  <si>
    <t>SPI3_MOSI, I2S3_SD, USART3_CX, UART5_TX</t>
  </si>
  <si>
    <t>TIM3_CH3, TIM8_CH3, USART6_CK</t>
  </si>
  <si>
    <t>SPI6_SCK, USART6_CTS (with LED indicator)</t>
  </si>
  <si>
    <t>SPI6_MOSI, USART6_TX (with LED indicator)</t>
  </si>
  <si>
    <t>TIM10_CH1, SPI5_NSS, SAI1_SD_B, UART7_RX</t>
  </si>
  <si>
    <t>SPI2_MOSI, I2A2_SD</t>
  </si>
  <si>
    <t>TIM2_CH1, TIM2_ETR, TIM8_CH1N, SPI1_SCK</t>
  </si>
  <si>
    <t>USART3_TX</t>
  </si>
  <si>
    <t>USART3_RX</t>
  </si>
  <si>
    <t>USART3_CK</t>
  </si>
  <si>
    <t>TIM4_CH4</t>
  </si>
  <si>
    <t>TIM4_CH3</t>
  </si>
  <si>
    <t>Available
analog
functions</t>
  </si>
  <si>
    <t>Available
alternate
functions</t>
  </si>
  <si>
    <t>ADC123_IN13</t>
  </si>
  <si>
    <t>ADC12_IN5, DAC_OUT2</t>
  </si>
  <si>
    <t>ExtensionConnector P1</t>
  </si>
  <si>
    <t>STM32F429 Discovery board</t>
  </si>
  <si>
    <t>Compiled by hhrt@zhaw.ch by consulting  the user manual of the evaluation board and the datasheet of the MCU</t>
  </si>
  <si>
    <t>TIM9_CH1 , SPI4_MISO,  SAI1_SCK_A</t>
  </si>
  <si>
    <t>ADC3_IN6</t>
  </si>
  <si>
    <t>LCD, GYRO SCL</t>
  </si>
  <si>
    <t>GYRO (CS)</t>
  </si>
  <si>
    <t>GYRO (MISO)</t>
  </si>
  <si>
    <t>ADC123_IN11</t>
  </si>
  <si>
    <t>GYRO (INT1)</t>
  </si>
  <si>
    <t>GYRO (INT2)</t>
  </si>
  <si>
    <t>SDRAM (A6)</t>
  </si>
  <si>
    <t>SDRAM (SDNRAS)</t>
  </si>
  <si>
    <t>SDRAM (A7)</t>
  </si>
  <si>
    <t>SDRAM (A8)</t>
  </si>
  <si>
    <t>SDRAM (A9)</t>
  </si>
  <si>
    <t>SDRAM (A10)</t>
  </si>
  <si>
    <t>SDRAM (A11)</t>
  </si>
  <si>
    <t>SDRAM (D4)</t>
  </si>
  <si>
    <t>SDRAM (D5)</t>
  </si>
  <si>
    <t>SDRAM (D6)</t>
  </si>
  <si>
    <t>SDRAM (D7)</t>
  </si>
  <si>
    <t>SDRAM (D8)</t>
  </si>
  <si>
    <t>SDRAM (D9)</t>
  </si>
  <si>
    <t>SDRAM (D10)</t>
  </si>
  <si>
    <t>SDRAM (D11)</t>
  </si>
  <si>
    <t>SDRAM (D12)</t>
  </si>
  <si>
    <t>SDRAM (D14)</t>
  </si>
  <si>
    <t>SDRAM (D13)</t>
  </si>
  <si>
    <t>SDRAM (D15)</t>
  </si>
  <si>
    <t>SDRAM (D1)</t>
  </si>
  <si>
    <t>SDRAM (D0)</t>
  </si>
  <si>
    <t>SDRAM (SDNWE)</t>
  </si>
  <si>
    <t>SRRAM (A4)</t>
  </si>
  <si>
    <t>SDRAM (A5)</t>
  </si>
  <si>
    <t>SDRAM (A2)</t>
  </si>
  <si>
    <t>SDRAM (A3)</t>
  </si>
  <si>
    <t>SDRAM (A0)</t>
  </si>
  <si>
    <t>SDRAM (A1)</t>
  </si>
  <si>
    <t>SDRAM (NBL0)</t>
  </si>
  <si>
    <t>SDRAM (NBL1)</t>
  </si>
  <si>
    <t>SDRAM (SDNE1)</t>
  </si>
  <si>
    <t>SDRAM (SDCKE1)</t>
  </si>
  <si>
    <t>SDRAM (SDNCAS)</t>
  </si>
  <si>
    <t>SDRAM (D2)</t>
  </si>
  <si>
    <t>SDRAM (D3)</t>
  </si>
  <si>
    <t>SDRAM (SDCLK)</t>
  </si>
  <si>
    <t>SDRAM (BA0)</t>
  </si>
  <si>
    <t>SDRAM (BA1)</t>
  </si>
  <si>
    <t>Pin is fully available</t>
  </si>
  <si>
    <t>Pin available when SDRAM, Gyro resp. LED not used</t>
  </si>
  <si>
    <t>GND and 3V supply</t>
  </si>
  <si>
    <t>SPI5_MISO, SAI1_SCK_B, TIM13_CH1</t>
  </si>
  <si>
    <t>Pin is used by board function and is NOT available</t>
  </si>
  <si>
    <t>TIM1_ETR, UART7_Rx</t>
  </si>
  <si>
    <t>TIM1_CH1N, UART7_Tx</t>
  </si>
  <si>
    <t>TIM1_CH1, FMC_D6</t>
  </si>
  <si>
    <t>TIM1_CH2N, FMC_D7</t>
  </si>
  <si>
    <t>TIM1_CH2, SPI4_NSS</t>
  </si>
  <si>
    <t>TIM1_CH3N, SPI4_SCK</t>
  </si>
  <si>
    <t>TIM1_CH3, SPI4_MISO</t>
  </si>
  <si>
    <t>TIM1_CH4, SPI4_MOSI</t>
  </si>
  <si>
    <t>TIM1_BKIN</t>
  </si>
  <si>
    <t>Meaning of the colours:</t>
  </si>
  <si>
    <t>hhrt@zhaw.ch</t>
  </si>
  <si>
    <t>ADC3_IN4</t>
  </si>
  <si>
    <t>LED GREEN, LD3</t>
  </si>
  <si>
    <t>LED RED, LD4</t>
  </si>
  <si>
    <t>3V supply</t>
  </si>
  <si>
    <t>5V supply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</si>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</sst>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7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hrt@zhaw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7"/>
  <sheetViews>
    <sheetView tabSelected="1" zoomScale="80" zoomScaleNormal="80" workbookViewId="0">
      <selection activeCell="A2" sqref="A2"/>
    </sheetView>
  </sheetViews>
  <sheetFormatPr baseColWidth="10" defaultColWidth="9.140625" defaultRowHeight="15" x14ac:dyDescent="0.25"/>
  <cols>
    <col min="1" max="1" width="24.7109375" style="1" customWidth="1"/>
    <col min="2" max="2" width="42.140625" style="1" bestFit="1" customWidth="1"/>
    <col min="3" max="3" width="16.5703125" style="1" bestFit="1" customWidth="1"/>
    <col min="4" max="4" width="8.42578125" style="3" bestFit="1" customWidth="1"/>
    <col min="5" max="6" width="9.140625" style="1"/>
    <col min="7" max="7" width="12.140625" style="3" bestFit="1" customWidth="1"/>
    <col min="8" max="8" width="16.5703125" style="1" bestFit="1" customWidth="1"/>
    <col min="9" max="9" width="47.28515625" style="1" bestFit="1" customWidth="1"/>
    <col min="10" max="10" width="11.7109375" style="1" bestFit="1" customWidth="1"/>
    <col min="11" max="16384" width="9.140625" style="1"/>
  </cols>
  <sheetData>
    <row r="1" spans="1:10" ht="46.5" x14ac:dyDescent="0.7">
      <c r="A1" s="5" t="s">
        <v>172</v>
      </c>
      <c r="I1" s="14" t="s">
        <v>235</v>
      </c>
      <c r="J1" s="15">
        <v>44000</v>
      </c>
    </row>
    <row r="3" spans="1:10" x14ac:dyDescent="0.25">
      <c r="I3" s="3" t="s">
        <v>234</v>
      </c>
    </row>
    <row r="4" spans="1:10" x14ac:dyDescent="0.25">
      <c r="A4" s="7" t="s">
        <v>173</v>
      </c>
      <c r="B4" s="4"/>
      <c r="I4" s="2" t="s">
        <v>220</v>
      </c>
    </row>
    <row r="5" spans="1:10" x14ac:dyDescent="0.25">
      <c r="B5" s="4"/>
      <c r="I5" s="11" t="s">
        <v>221</v>
      </c>
    </row>
    <row r="6" spans="1:10" x14ac:dyDescent="0.25">
      <c r="B6" s="4"/>
      <c r="I6" s="12" t="s">
        <v>222</v>
      </c>
    </row>
    <row r="7" spans="1:10" x14ac:dyDescent="0.25">
      <c r="I7" s="1" t="s">
        <v>224</v>
      </c>
    </row>
    <row r="8" spans="1:10" ht="46.5" x14ac:dyDescent="0.7">
      <c r="A8" s="5" t="s">
        <v>171</v>
      </c>
    </row>
    <row r="9" spans="1:10" ht="45" x14ac:dyDescent="0.25">
      <c r="A9" s="8" t="s">
        <v>167</v>
      </c>
      <c r="B9" s="8" t="s">
        <v>168</v>
      </c>
      <c r="C9" s="8" t="s">
        <v>122</v>
      </c>
      <c r="D9" s="8" t="s">
        <v>121</v>
      </c>
      <c r="E9" s="1" t="s">
        <v>241</v>
      </c>
      <c r="F9" s="1" t="s">
        <v>241</v>
      </c>
      <c r="G9" s="8" t="s">
        <v>121</v>
      </c>
      <c r="H9" s="8" t="s">
        <v>122</v>
      </c>
      <c r="I9" s="8" t="s">
        <v>168</v>
      </c>
      <c r="J9" s="8" t="s">
        <v>167</v>
      </c>
    </row>
    <row r="10" spans="1:10" x14ac:dyDescent="0.25">
      <c r="B10" s="4" t="s">
        <v>240</v>
      </c>
      <c r="D10" s="3" t="s">
        <v>0</v>
      </c>
      <c r="E10" s="1">
        <v>1</v>
      </c>
      <c r="F10" s="1">
        <f>E10+1</f>
        <v>2</v>
      </c>
      <c r="G10" s="3" t="s">
        <v>0</v>
      </c>
      <c r="I10" s="4" t="s">
        <v>240</v>
      </c>
    </row>
    <row r="11" spans="1:10" x14ac:dyDescent="0.25">
      <c r="C11" s="1" t="s">
        <v>204</v>
      </c>
      <c r="D11" s="3" t="s">
        <v>1</v>
      </c>
      <c r="E11" s="1">
        <f>E10+2</f>
        <v>3</v>
      </c>
      <c r="F11" s="1">
        <f>E11+1</f>
        <v>4</v>
      </c>
      <c r="G11" s="3" t="s">
        <v>33</v>
      </c>
      <c r="H11" s="1" t="s">
        <v>205</v>
      </c>
    </row>
    <row r="12" spans="1:10" x14ac:dyDescent="0.25">
      <c r="C12" s="1" t="s">
        <v>206</v>
      </c>
      <c r="D12" s="3" t="s">
        <v>2</v>
      </c>
      <c r="E12" s="1">
        <f t="shared" ref="E12:E41" si="0">E11+2</f>
        <v>5</v>
      </c>
      <c r="F12" s="1">
        <f t="shared" ref="F12:F41" si="1">E12+1</f>
        <v>6</v>
      </c>
      <c r="G12" s="3" t="s">
        <v>34</v>
      </c>
      <c r="H12" s="1" t="s">
        <v>207</v>
      </c>
    </row>
    <row r="13" spans="1:10" x14ac:dyDescent="0.25">
      <c r="C13" s="1" t="s">
        <v>208</v>
      </c>
      <c r="D13" s="3" t="s">
        <v>3</v>
      </c>
      <c r="E13" s="1">
        <f t="shared" si="0"/>
        <v>7</v>
      </c>
      <c r="F13" s="1">
        <f t="shared" si="1"/>
        <v>8</v>
      </c>
      <c r="G13" s="3" t="s">
        <v>35</v>
      </c>
      <c r="H13" s="1" t="s">
        <v>209</v>
      </c>
    </row>
    <row r="14" spans="1:10" x14ac:dyDescent="0.25">
      <c r="C14" s="1" t="s">
        <v>128</v>
      </c>
      <c r="D14" s="3" t="s">
        <v>4</v>
      </c>
      <c r="E14" s="1">
        <f t="shared" si="0"/>
        <v>9</v>
      </c>
      <c r="F14" s="1">
        <f t="shared" si="1"/>
        <v>10</v>
      </c>
      <c r="G14" s="3" t="s">
        <v>36</v>
      </c>
      <c r="H14" s="1" t="s">
        <v>129</v>
      </c>
    </row>
    <row r="15" spans="1:10" x14ac:dyDescent="0.25">
      <c r="B15" s="1" t="s">
        <v>141</v>
      </c>
      <c r="D15" s="6" t="s">
        <v>5</v>
      </c>
      <c r="E15" s="1">
        <f t="shared" si="0"/>
        <v>11</v>
      </c>
      <c r="F15" s="1">
        <f t="shared" si="1"/>
        <v>12</v>
      </c>
      <c r="G15" s="6" t="s">
        <v>37</v>
      </c>
    </row>
    <row r="16" spans="1:10" x14ac:dyDescent="0.25">
      <c r="B16" s="1" t="s">
        <v>142</v>
      </c>
      <c r="D16" s="6" t="s">
        <v>6</v>
      </c>
      <c r="E16" s="1">
        <f t="shared" si="0"/>
        <v>13</v>
      </c>
      <c r="F16" s="1">
        <f t="shared" si="1"/>
        <v>14</v>
      </c>
      <c r="G16" s="6" t="s">
        <v>38</v>
      </c>
      <c r="I16" s="1" t="s">
        <v>174</v>
      </c>
    </row>
    <row r="17" spans="2:9" x14ac:dyDescent="0.25">
      <c r="B17" s="1" t="s">
        <v>143</v>
      </c>
      <c r="D17" s="6" t="s">
        <v>7</v>
      </c>
      <c r="E17" s="1">
        <f t="shared" si="0"/>
        <v>15</v>
      </c>
      <c r="F17" s="1">
        <f t="shared" si="1"/>
        <v>16</v>
      </c>
      <c r="G17" s="6" t="s">
        <v>39</v>
      </c>
      <c r="I17" s="1" t="s">
        <v>144</v>
      </c>
    </row>
    <row r="18" spans="2:9" x14ac:dyDescent="0.25">
      <c r="C18" s="1" t="s">
        <v>210</v>
      </c>
      <c r="D18" s="3" t="s">
        <v>8</v>
      </c>
      <c r="E18" s="1">
        <f t="shared" si="0"/>
        <v>17</v>
      </c>
      <c r="F18" s="1">
        <f t="shared" si="1"/>
        <v>18</v>
      </c>
      <c r="G18" s="3" t="s">
        <v>40</v>
      </c>
      <c r="H18" s="1" t="s">
        <v>211</v>
      </c>
    </row>
    <row r="19" spans="2:9" x14ac:dyDescent="0.25">
      <c r="C19" s="1" t="s">
        <v>134</v>
      </c>
      <c r="D19" s="3" t="s">
        <v>9</v>
      </c>
      <c r="E19" s="1">
        <f t="shared" si="0"/>
        <v>19</v>
      </c>
      <c r="F19" s="1">
        <f t="shared" si="1"/>
        <v>20</v>
      </c>
      <c r="G19" s="3" t="s">
        <v>41</v>
      </c>
      <c r="H19" s="1" t="s">
        <v>134</v>
      </c>
    </row>
    <row r="20" spans="2:9" x14ac:dyDescent="0.25">
      <c r="C20" s="1" t="s">
        <v>10</v>
      </c>
      <c r="D20" s="3" t="s">
        <v>10</v>
      </c>
      <c r="E20" s="1">
        <f t="shared" si="0"/>
        <v>21</v>
      </c>
      <c r="F20" s="1">
        <f t="shared" si="1"/>
        <v>22</v>
      </c>
      <c r="G20" s="3" t="s">
        <v>42</v>
      </c>
    </row>
    <row r="21" spans="2:9" x14ac:dyDescent="0.25">
      <c r="C21" s="1" t="s">
        <v>212</v>
      </c>
      <c r="D21" s="9" t="s">
        <v>11</v>
      </c>
      <c r="E21" s="1">
        <f t="shared" si="0"/>
        <v>23</v>
      </c>
      <c r="F21" s="1">
        <f t="shared" si="1"/>
        <v>24</v>
      </c>
      <c r="G21" s="6" t="s">
        <v>43</v>
      </c>
      <c r="I21" s="1" t="s">
        <v>145</v>
      </c>
    </row>
    <row r="22" spans="2:9" x14ac:dyDescent="0.25">
      <c r="B22" s="1" t="s">
        <v>146</v>
      </c>
      <c r="D22" s="6" t="s">
        <v>12</v>
      </c>
      <c r="E22" s="1">
        <f t="shared" si="0"/>
        <v>25</v>
      </c>
      <c r="F22" s="1">
        <f t="shared" si="1"/>
        <v>26</v>
      </c>
      <c r="G22" s="9" t="s">
        <v>44</v>
      </c>
      <c r="H22" s="1" t="s">
        <v>213</v>
      </c>
    </row>
    <row r="23" spans="2:9" x14ac:dyDescent="0.25">
      <c r="C23" s="1" t="s">
        <v>214</v>
      </c>
      <c r="D23" s="3" t="s">
        <v>13</v>
      </c>
      <c r="E23" s="1">
        <f t="shared" si="0"/>
        <v>27</v>
      </c>
      <c r="F23" s="1">
        <f t="shared" si="1"/>
        <v>28</v>
      </c>
      <c r="G23" s="3" t="s">
        <v>45</v>
      </c>
      <c r="H23" s="1" t="s">
        <v>127</v>
      </c>
    </row>
    <row r="24" spans="2:9" x14ac:dyDescent="0.25">
      <c r="B24" s="1" t="s">
        <v>157</v>
      </c>
      <c r="C24" s="1" t="s">
        <v>237</v>
      </c>
      <c r="D24" s="10" t="s">
        <v>14</v>
      </c>
      <c r="E24" s="1">
        <f t="shared" si="0"/>
        <v>29</v>
      </c>
      <c r="F24" s="1">
        <f t="shared" si="1"/>
        <v>30</v>
      </c>
      <c r="G24" s="10" t="s">
        <v>46</v>
      </c>
      <c r="H24" s="1" t="s">
        <v>238</v>
      </c>
      <c r="I24" s="1" t="s">
        <v>158</v>
      </c>
    </row>
    <row r="25" spans="2:9" x14ac:dyDescent="0.25">
      <c r="C25" s="1" t="s">
        <v>134</v>
      </c>
      <c r="D25" s="3" t="s">
        <v>15</v>
      </c>
      <c r="E25" s="1">
        <f t="shared" si="0"/>
        <v>31</v>
      </c>
      <c r="F25" s="1">
        <f t="shared" si="1"/>
        <v>32</v>
      </c>
      <c r="G25" s="3" t="s">
        <v>47</v>
      </c>
      <c r="H25" s="1" t="s">
        <v>134</v>
      </c>
    </row>
    <row r="26" spans="2:9" x14ac:dyDescent="0.25">
      <c r="B26" s="1" t="s">
        <v>147</v>
      </c>
      <c r="D26" s="6" t="s">
        <v>16</v>
      </c>
      <c r="E26" s="1">
        <f t="shared" si="0"/>
        <v>33</v>
      </c>
      <c r="F26" s="1">
        <f t="shared" si="1"/>
        <v>34</v>
      </c>
      <c r="G26" s="3" t="s">
        <v>48</v>
      </c>
      <c r="H26" s="1" t="s">
        <v>134</v>
      </c>
    </row>
    <row r="27" spans="2:9" x14ac:dyDescent="0.25">
      <c r="B27" s="1" t="s">
        <v>148</v>
      </c>
      <c r="D27" s="6" t="s">
        <v>17</v>
      </c>
      <c r="E27" s="1">
        <f t="shared" si="0"/>
        <v>35</v>
      </c>
      <c r="F27" s="1">
        <f t="shared" si="1"/>
        <v>36</v>
      </c>
      <c r="G27" s="3" t="s">
        <v>49</v>
      </c>
      <c r="H27" s="1" t="s">
        <v>134</v>
      </c>
    </row>
    <row r="28" spans="2:9" x14ac:dyDescent="0.25">
      <c r="B28" s="1" t="s">
        <v>149</v>
      </c>
      <c r="D28" s="6" t="s">
        <v>18</v>
      </c>
      <c r="E28" s="1">
        <f t="shared" si="0"/>
        <v>37</v>
      </c>
      <c r="F28" s="1">
        <f t="shared" si="1"/>
        <v>38</v>
      </c>
      <c r="G28" s="6" t="s">
        <v>50</v>
      </c>
      <c r="I28" s="1" t="s">
        <v>150</v>
      </c>
    </row>
    <row r="29" spans="2:9" x14ac:dyDescent="0.25">
      <c r="C29" s="1" t="s">
        <v>134</v>
      </c>
      <c r="D29" s="3" t="s">
        <v>20</v>
      </c>
      <c r="E29" s="1">
        <f t="shared" si="0"/>
        <v>39</v>
      </c>
      <c r="F29" s="1">
        <f t="shared" si="1"/>
        <v>40</v>
      </c>
      <c r="G29" s="6" t="s">
        <v>51</v>
      </c>
      <c r="I29" s="1" t="s">
        <v>151</v>
      </c>
    </row>
    <row r="30" spans="2:9" x14ac:dyDescent="0.25">
      <c r="B30" s="1" t="s">
        <v>153</v>
      </c>
      <c r="C30" s="1" t="s">
        <v>216</v>
      </c>
      <c r="D30" s="10" t="s">
        <v>21</v>
      </c>
      <c r="E30" s="1">
        <f t="shared" si="0"/>
        <v>41</v>
      </c>
      <c r="F30" s="1">
        <f t="shared" si="1"/>
        <v>42</v>
      </c>
      <c r="G30" s="10" t="s">
        <v>52</v>
      </c>
      <c r="H30" s="1" t="s">
        <v>215</v>
      </c>
      <c r="I30" s="1" t="s">
        <v>152</v>
      </c>
    </row>
    <row r="31" spans="2:9" x14ac:dyDescent="0.25">
      <c r="B31" s="1" t="s">
        <v>155</v>
      </c>
      <c r="D31" s="6" t="s">
        <v>22</v>
      </c>
      <c r="E31" s="1">
        <f t="shared" si="0"/>
        <v>43</v>
      </c>
      <c r="F31" s="1">
        <f t="shared" si="1"/>
        <v>44</v>
      </c>
      <c r="G31" s="6" t="s">
        <v>53</v>
      </c>
      <c r="I31" s="1" t="s">
        <v>154</v>
      </c>
    </row>
    <row r="32" spans="2:9" x14ac:dyDescent="0.25">
      <c r="C32" s="1" t="s">
        <v>134</v>
      </c>
      <c r="D32" s="3" t="s">
        <v>23</v>
      </c>
      <c r="E32" s="1">
        <f t="shared" si="0"/>
        <v>45</v>
      </c>
      <c r="F32" s="1">
        <f t="shared" si="1"/>
        <v>46</v>
      </c>
      <c r="G32" s="3" t="s">
        <v>54</v>
      </c>
      <c r="H32" s="1" t="s">
        <v>140</v>
      </c>
    </row>
    <row r="33" spans="1:10" x14ac:dyDescent="0.25">
      <c r="C33" s="1" t="s">
        <v>125</v>
      </c>
      <c r="D33" s="3" t="s">
        <v>24</v>
      </c>
      <c r="E33" s="1">
        <f t="shared" si="0"/>
        <v>47</v>
      </c>
      <c r="F33" s="1">
        <f t="shared" si="1"/>
        <v>48</v>
      </c>
      <c r="G33" s="3" t="s">
        <v>55</v>
      </c>
      <c r="H33" s="1" t="s">
        <v>124</v>
      </c>
    </row>
    <row r="34" spans="1:10" x14ac:dyDescent="0.25">
      <c r="C34" s="1" t="s">
        <v>134</v>
      </c>
      <c r="D34" s="3" t="s">
        <v>25</v>
      </c>
      <c r="E34" s="1">
        <f t="shared" si="0"/>
        <v>49</v>
      </c>
      <c r="F34" s="1">
        <f t="shared" si="1"/>
        <v>50</v>
      </c>
      <c r="G34" s="3" t="s">
        <v>56</v>
      </c>
      <c r="H34" s="1" t="s">
        <v>134</v>
      </c>
    </row>
    <row r="35" spans="1:10" x14ac:dyDescent="0.25">
      <c r="C35" s="1" t="s">
        <v>132</v>
      </c>
      <c r="D35" s="3" t="s">
        <v>26</v>
      </c>
      <c r="E35" s="1">
        <f t="shared" si="0"/>
        <v>51</v>
      </c>
      <c r="F35" s="1">
        <f t="shared" si="1"/>
        <v>52</v>
      </c>
      <c r="G35" s="3" t="s">
        <v>62</v>
      </c>
      <c r="H35" s="1" t="s">
        <v>133</v>
      </c>
    </row>
    <row r="36" spans="1:10" x14ac:dyDescent="0.25">
      <c r="C36" s="1" t="s">
        <v>139</v>
      </c>
      <c r="D36" s="3" t="s">
        <v>27</v>
      </c>
      <c r="E36" s="1">
        <f t="shared" si="0"/>
        <v>53</v>
      </c>
      <c r="F36" s="1">
        <f t="shared" si="1"/>
        <v>54</v>
      </c>
      <c r="G36" s="3" t="s">
        <v>57</v>
      </c>
      <c r="H36" s="1" t="s">
        <v>139</v>
      </c>
    </row>
    <row r="37" spans="1:10" x14ac:dyDescent="0.25">
      <c r="B37" s="1" t="s">
        <v>156</v>
      </c>
      <c r="D37" s="6" t="s">
        <v>28</v>
      </c>
      <c r="E37" s="1">
        <f t="shared" si="0"/>
        <v>55</v>
      </c>
      <c r="F37" s="1">
        <f t="shared" si="1"/>
        <v>56</v>
      </c>
      <c r="G37" s="3" t="s">
        <v>58</v>
      </c>
      <c r="H37" s="1" t="s">
        <v>134</v>
      </c>
    </row>
    <row r="38" spans="1:10" x14ac:dyDescent="0.25">
      <c r="C38" s="1" t="s">
        <v>134</v>
      </c>
      <c r="D38" s="3" t="s">
        <v>29</v>
      </c>
      <c r="E38" s="1">
        <f t="shared" si="0"/>
        <v>57</v>
      </c>
      <c r="F38" s="1">
        <f t="shared" si="1"/>
        <v>58</v>
      </c>
      <c r="G38" s="3" t="s">
        <v>59</v>
      </c>
      <c r="H38" s="1" t="s">
        <v>217</v>
      </c>
      <c r="I38" s="4"/>
    </row>
    <row r="39" spans="1:10" x14ac:dyDescent="0.25">
      <c r="C39" s="1" t="s">
        <v>134</v>
      </c>
      <c r="D39" s="3" t="s">
        <v>30</v>
      </c>
      <c r="E39" s="1">
        <f t="shared" si="0"/>
        <v>59</v>
      </c>
      <c r="F39" s="1">
        <f t="shared" si="1"/>
        <v>60</v>
      </c>
      <c r="G39" s="3" t="s">
        <v>60</v>
      </c>
      <c r="H39" s="1" t="s">
        <v>134</v>
      </c>
    </row>
    <row r="40" spans="1:10" x14ac:dyDescent="0.25">
      <c r="B40" s="4"/>
      <c r="C40" s="1" t="s">
        <v>219</v>
      </c>
      <c r="D40" s="3" t="s">
        <v>31</v>
      </c>
      <c r="E40" s="1">
        <f t="shared" si="0"/>
        <v>61</v>
      </c>
      <c r="F40" s="1">
        <f t="shared" si="1"/>
        <v>62</v>
      </c>
      <c r="G40" s="3" t="s">
        <v>61</v>
      </c>
      <c r="H40" s="1" t="s">
        <v>218</v>
      </c>
      <c r="I40" s="4"/>
    </row>
    <row r="41" spans="1:10" x14ac:dyDescent="0.25">
      <c r="B41" s="4"/>
      <c r="D41" s="13" t="s">
        <v>32</v>
      </c>
      <c r="E41" s="1">
        <f t="shared" si="0"/>
        <v>63</v>
      </c>
      <c r="F41" s="1">
        <f t="shared" si="1"/>
        <v>64</v>
      </c>
      <c r="G41" s="13" t="s">
        <v>32</v>
      </c>
      <c r="I41" s="4"/>
    </row>
    <row r="42" spans="1:10" x14ac:dyDescent="0.25">
      <c r="B42" s="4"/>
      <c r="D42" s="9"/>
      <c r="G42" s="9"/>
      <c r="I42" s="4"/>
    </row>
    <row r="44" spans="1:10" ht="46.5" x14ac:dyDescent="0.7">
      <c r="A44" s="5" t="s">
        <v>123</v>
      </c>
    </row>
    <row r="45" spans="1:10" ht="45" x14ac:dyDescent="0.25">
      <c r="A45" s="8" t="s">
        <v>167</v>
      </c>
      <c r="B45" s="8" t="s">
        <v>168</v>
      </c>
      <c r="C45" s="8" t="s">
        <v>122</v>
      </c>
      <c r="D45" s="8" t="s">
        <v>121</v>
      </c>
      <c r="E45" s="1" t="s">
        <v>241</v>
      </c>
      <c r="F45" s="1" t="s">
        <v>241</v>
      </c>
      <c r="G45" s="8" t="s">
        <v>121</v>
      </c>
      <c r="H45" s="8" t="s">
        <v>122</v>
      </c>
      <c r="I45" s="8" t="s">
        <v>168</v>
      </c>
      <c r="J45" s="8" t="s">
        <v>167</v>
      </c>
    </row>
    <row r="46" spans="1:10" x14ac:dyDescent="0.25">
      <c r="B46" s="4" t="s">
        <v>239</v>
      </c>
      <c r="D46" s="13" t="s">
        <v>63</v>
      </c>
      <c r="E46" s="1">
        <v>1</v>
      </c>
      <c r="F46" s="1">
        <f>E46+1</f>
        <v>2</v>
      </c>
      <c r="G46" s="13" t="s">
        <v>63</v>
      </c>
      <c r="I46" s="4" t="s">
        <v>239</v>
      </c>
    </row>
    <row r="47" spans="1:10" x14ac:dyDescent="0.25">
      <c r="A47" s="1" t="s">
        <v>236</v>
      </c>
      <c r="B47" s="1" t="s">
        <v>159</v>
      </c>
      <c r="D47" s="6" t="s">
        <v>64</v>
      </c>
      <c r="E47" s="1">
        <f>E46+2</f>
        <v>3</v>
      </c>
      <c r="F47" s="1">
        <f>E47+1</f>
        <v>4</v>
      </c>
      <c r="G47" s="3" t="s">
        <v>91</v>
      </c>
      <c r="I47" s="4"/>
    </row>
    <row r="48" spans="1:10" x14ac:dyDescent="0.25">
      <c r="A48" s="1" t="s">
        <v>175</v>
      </c>
      <c r="B48" s="1" t="s">
        <v>223</v>
      </c>
      <c r="C48" s="1" t="s">
        <v>178</v>
      </c>
      <c r="D48" s="10" t="s">
        <v>65</v>
      </c>
      <c r="E48" s="1">
        <f t="shared" ref="E48:E77" si="2">E47+2</f>
        <v>5</v>
      </c>
      <c r="F48" s="1">
        <f t="shared" ref="F48:F77" si="3">E48+1</f>
        <v>6</v>
      </c>
      <c r="G48" s="3" t="s">
        <v>92</v>
      </c>
      <c r="H48" s="1" t="s">
        <v>176</v>
      </c>
    </row>
    <row r="49" spans="1:9" x14ac:dyDescent="0.25">
      <c r="C49" s="1" t="s">
        <v>134</v>
      </c>
      <c r="D49" s="3" t="s">
        <v>66</v>
      </c>
      <c r="E49" s="1">
        <f t="shared" si="2"/>
        <v>7</v>
      </c>
      <c r="F49" s="1">
        <f t="shared" si="3"/>
        <v>8</v>
      </c>
      <c r="G49" s="3" t="s">
        <v>93</v>
      </c>
      <c r="H49" s="1" t="s">
        <v>135</v>
      </c>
    </row>
    <row r="50" spans="1:9" x14ac:dyDescent="0.25">
      <c r="C50" s="1" t="s">
        <v>131</v>
      </c>
      <c r="D50" s="3" t="s">
        <v>67</v>
      </c>
      <c r="E50" s="1">
        <f t="shared" si="2"/>
        <v>9</v>
      </c>
      <c r="F50" s="1">
        <f t="shared" si="3"/>
        <v>10</v>
      </c>
      <c r="G50" s="3" t="s">
        <v>94</v>
      </c>
      <c r="H50" s="1" t="s">
        <v>130</v>
      </c>
    </row>
    <row r="51" spans="1:9" x14ac:dyDescent="0.25">
      <c r="D51" s="13" t="s">
        <v>32</v>
      </c>
      <c r="E51" s="1">
        <f t="shared" si="2"/>
        <v>11</v>
      </c>
      <c r="F51" s="1">
        <f t="shared" si="3"/>
        <v>12</v>
      </c>
      <c r="G51" s="3" t="s">
        <v>95</v>
      </c>
      <c r="H51" s="1" t="s">
        <v>95</v>
      </c>
    </row>
    <row r="52" spans="1:9" x14ac:dyDescent="0.25">
      <c r="A52" s="1" t="s">
        <v>179</v>
      </c>
      <c r="C52" s="1" t="s">
        <v>177</v>
      </c>
      <c r="D52" s="10" t="s">
        <v>68</v>
      </c>
      <c r="E52" s="1">
        <f t="shared" si="2"/>
        <v>13</v>
      </c>
      <c r="F52" s="1">
        <f t="shared" si="3"/>
        <v>14</v>
      </c>
      <c r="G52" s="9" t="s">
        <v>96</v>
      </c>
      <c r="H52" s="1" t="s">
        <v>203</v>
      </c>
      <c r="I52" s="4"/>
    </row>
    <row r="53" spans="1:9" x14ac:dyDescent="0.25">
      <c r="A53" s="1" t="s">
        <v>169</v>
      </c>
      <c r="B53" s="1" t="s">
        <v>160</v>
      </c>
      <c r="D53" s="6" t="s">
        <v>69</v>
      </c>
      <c r="E53" s="1">
        <f t="shared" si="2"/>
        <v>15</v>
      </c>
      <c r="F53" s="1">
        <f t="shared" si="3"/>
        <v>16</v>
      </c>
      <c r="G53" s="3" t="s">
        <v>97</v>
      </c>
      <c r="H53" s="1" t="s">
        <v>134</v>
      </c>
    </row>
    <row r="54" spans="1:9" x14ac:dyDescent="0.25">
      <c r="C54" s="1" t="s">
        <v>180</v>
      </c>
      <c r="D54" s="3" t="s">
        <v>70</v>
      </c>
      <c r="E54" s="1">
        <f t="shared" si="2"/>
        <v>17</v>
      </c>
      <c r="F54" s="1">
        <f t="shared" si="3"/>
        <v>18</v>
      </c>
      <c r="G54" s="3" t="s">
        <v>98</v>
      </c>
      <c r="H54" s="1" t="s">
        <v>137</v>
      </c>
    </row>
    <row r="55" spans="1:9" x14ac:dyDescent="0.25">
      <c r="C55" s="1" t="s">
        <v>134</v>
      </c>
      <c r="D55" s="3" t="s">
        <v>71</v>
      </c>
      <c r="E55" s="1">
        <f t="shared" si="2"/>
        <v>19</v>
      </c>
      <c r="F55" s="1">
        <f t="shared" si="3"/>
        <v>20</v>
      </c>
      <c r="G55" s="3" t="s">
        <v>99</v>
      </c>
      <c r="H55" s="1" t="s">
        <v>181</v>
      </c>
    </row>
    <row r="56" spans="1:9" x14ac:dyDescent="0.25">
      <c r="A56" s="1" t="s">
        <v>170</v>
      </c>
      <c r="B56" s="1" t="s">
        <v>161</v>
      </c>
      <c r="D56" s="6" t="s">
        <v>72</v>
      </c>
      <c r="E56" s="1">
        <f t="shared" si="2"/>
        <v>21</v>
      </c>
      <c r="F56" s="1">
        <f t="shared" si="3"/>
        <v>22</v>
      </c>
      <c r="G56" s="3" t="s">
        <v>100</v>
      </c>
      <c r="H56" s="1" t="s">
        <v>134</v>
      </c>
    </row>
    <row r="57" spans="1:9" x14ac:dyDescent="0.25">
      <c r="C57" s="1" t="s">
        <v>138</v>
      </c>
      <c r="D57" s="3" t="s">
        <v>73</v>
      </c>
      <c r="E57" s="1">
        <f t="shared" si="2"/>
        <v>23</v>
      </c>
      <c r="F57" s="1">
        <f t="shared" si="3"/>
        <v>24</v>
      </c>
      <c r="G57" s="3" t="s">
        <v>101</v>
      </c>
      <c r="H57" s="1" t="s">
        <v>134</v>
      </c>
    </row>
    <row r="58" spans="1:9" x14ac:dyDescent="0.25">
      <c r="C58" s="1" t="s">
        <v>136</v>
      </c>
      <c r="D58" s="3" t="s">
        <v>74</v>
      </c>
      <c r="E58" s="1">
        <f t="shared" si="2"/>
        <v>25</v>
      </c>
      <c r="F58" s="1">
        <f t="shared" si="3"/>
        <v>26</v>
      </c>
      <c r="G58" s="3" t="s">
        <v>102</v>
      </c>
      <c r="H58" s="1" t="s">
        <v>136</v>
      </c>
    </row>
    <row r="59" spans="1:9" x14ac:dyDescent="0.25">
      <c r="C59" s="1" t="s">
        <v>134</v>
      </c>
      <c r="D59" s="3" t="s">
        <v>75</v>
      </c>
      <c r="E59" s="1">
        <f t="shared" si="2"/>
        <v>27</v>
      </c>
      <c r="F59" s="1">
        <f t="shared" si="3"/>
        <v>28</v>
      </c>
      <c r="G59" s="3" t="s">
        <v>103</v>
      </c>
      <c r="H59" s="1" t="s">
        <v>134</v>
      </c>
    </row>
    <row r="60" spans="1:9" x14ac:dyDescent="0.25">
      <c r="D60" s="13" t="s">
        <v>32</v>
      </c>
      <c r="E60" s="1">
        <f t="shared" si="2"/>
        <v>29</v>
      </c>
      <c r="F60" s="1">
        <f t="shared" si="3"/>
        <v>30</v>
      </c>
      <c r="G60" s="3" t="s">
        <v>115</v>
      </c>
      <c r="H60" s="1" t="s">
        <v>126</v>
      </c>
    </row>
    <row r="61" spans="1:9" x14ac:dyDescent="0.25">
      <c r="C61" s="1" t="s">
        <v>182</v>
      </c>
      <c r="D61" s="3" t="s">
        <v>76</v>
      </c>
      <c r="E61" s="1">
        <f t="shared" si="2"/>
        <v>31</v>
      </c>
      <c r="F61" s="1">
        <f t="shared" si="3"/>
        <v>32</v>
      </c>
      <c r="G61" s="3" t="s">
        <v>104</v>
      </c>
      <c r="H61" s="1" t="s">
        <v>183</v>
      </c>
    </row>
    <row r="62" spans="1:9" x14ac:dyDescent="0.25">
      <c r="C62" s="1" t="s">
        <v>185</v>
      </c>
      <c r="D62" s="3" t="s">
        <v>77</v>
      </c>
      <c r="E62" s="1">
        <f t="shared" si="2"/>
        <v>33</v>
      </c>
      <c r="F62" s="1">
        <f t="shared" si="3"/>
        <v>34</v>
      </c>
      <c r="G62" s="3" t="s">
        <v>105</v>
      </c>
      <c r="H62" s="1" t="s">
        <v>184</v>
      </c>
      <c r="I62" s="4"/>
    </row>
    <row r="63" spans="1:9" x14ac:dyDescent="0.25">
      <c r="C63" s="1" t="s">
        <v>187</v>
      </c>
      <c r="D63" s="3" t="s">
        <v>78</v>
      </c>
      <c r="E63" s="1">
        <f t="shared" si="2"/>
        <v>35</v>
      </c>
      <c r="F63" s="1">
        <f t="shared" si="3"/>
        <v>36</v>
      </c>
      <c r="G63" s="3" t="s">
        <v>106</v>
      </c>
      <c r="H63" s="1" t="s">
        <v>186</v>
      </c>
      <c r="I63" s="4"/>
    </row>
    <row r="64" spans="1:9" x14ac:dyDescent="0.25">
      <c r="B64" s="1" t="s">
        <v>225</v>
      </c>
      <c r="C64" s="4" t="s">
        <v>189</v>
      </c>
      <c r="D64" s="10" t="s">
        <v>79</v>
      </c>
      <c r="E64" s="1">
        <f t="shared" si="2"/>
        <v>37</v>
      </c>
      <c r="F64" s="1">
        <f t="shared" si="3"/>
        <v>38</v>
      </c>
      <c r="G64" s="3" t="s">
        <v>107</v>
      </c>
      <c r="H64" s="4" t="s">
        <v>188</v>
      </c>
      <c r="I64" s="4"/>
    </row>
    <row r="65" spans="2:9" x14ac:dyDescent="0.25">
      <c r="B65" s="1" t="s">
        <v>227</v>
      </c>
      <c r="C65" s="4" t="s">
        <v>191</v>
      </c>
      <c r="D65" s="10" t="s">
        <v>80</v>
      </c>
      <c r="E65" s="1">
        <f t="shared" si="2"/>
        <v>39</v>
      </c>
      <c r="F65" s="1">
        <f t="shared" si="3"/>
        <v>40</v>
      </c>
      <c r="G65" s="10" t="s">
        <v>108</v>
      </c>
      <c r="H65" s="4" t="s">
        <v>190</v>
      </c>
      <c r="I65" s="1" t="s">
        <v>226</v>
      </c>
    </row>
    <row r="66" spans="2:9" x14ac:dyDescent="0.25">
      <c r="B66" s="1" t="s">
        <v>229</v>
      </c>
      <c r="C66" s="4" t="s">
        <v>193</v>
      </c>
      <c r="D66" s="10" t="s">
        <v>81</v>
      </c>
      <c r="E66" s="1">
        <f t="shared" si="2"/>
        <v>41</v>
      </c>
      <c r="F66" s="1">
        <f t="shared" si="3"/>
        <v>42</v>
      </c>
      <c r="G66" s="10" t="s">
        <v>109</v>
      </c>
      <c r="H66" s="4" t="s">
        <v>192</v>
      </c>
      <c r="I66" s="1" t="s">
        <v>228</v>
      </c>
    </row>
    <row r="67" spans="2:9" x14ac:dyDescent="0.25">
      <c r="B67" s="1" t="s">
        <v>231</v>
      </c>
      <c r="C67" s="4" t="s">
        <v>195</v>
      </c>
      <c r="D67" s="10" t="s">
        <v>82</v>
      </c>
      <c r="E67" s="1">
        <f t="shared" si="2"/>
        <v>43</v>
      </c>
      <c r="F67" s="1">
        <f t="shared" si="3"/>
        <v>44</v>
      </c>
      <c r="G67" s="10" t="s">
        <v>110</v>
      </c>
      <c r="H67" s="4" t="s">
        <v>194</v>
      </c>
      <c r="I67" s="1" t="s">
        <v>230</v>
      </c>
    </row>
    <row r="68" spans="2:9" x14ac:dyDescent="0.25">
      <c r="B68" s="1" t="s">
        <v>233</v>
      </c>
      <c r="C68" s="4" t="s">
        <v>197</v>
      </c>
      <c r="D68" s="10" t="s">
        <v>83</v>
      </c>
      <c r="E68" s="1">
        <f t="shared" si="2"/>
        <v>45</v>
      </c>
      <c r="F68" s="1">
        <f t="shared" si="3"/>
        <v>46</v>
      </c>
      <c r="G68" s="10" t="s">
        <v>111</v>
      </c>
      <c r="H68" s="4" t="s">
        <v>196</v>
      </c>
      <c r="I68" s="1" t="s">
        <v>232</v>
      </c>
    </row>
    <row r="69" spans="2:9" x14ac:dyDescent="0.25">
      <c r="C69" s="1" t="s">
        <v>134</v>
      </c>
      <c r="D69" s="3" t="s">
        <v>84</v>
      </c>
      <c r="E69" s="1">
        <f t="shared" si="2"/>
        <v>47</v>
      </c>
      <c r="F69" s="1">
        <f t="shared" si="3"/>
        <v>48</v>
      </c>
      <c r="G69" s="3" t="s">
        <v>112</v>
      </c>
      <c r="H69" s="1" t="s">
        <v>134</v>
      </c>
    </row>
    <row r="70" spans="2:9" x14ac:dyDescent="0.25">
      <c r="C70" s="1" t="s">
        <v>136</v>
      </c>
      <c r="D70" s="3" t="s">
        <v>85</v>
      </c>
      <c r="E70" s="1">
        <f t="shared" si="2"/>
        <v>49</v>
      </c>
      <c r="F70" s="1">
        <f t="shared" si="3"/>
        <v>50</v>
      </c>
      <c r="G70" s="3" t="s">
        <v>113</v>
      </c>
      <c r="H70" s="1" t="s">
        <v>136</v>
      </c>
    </row>
    <row r="71" spans="2:9" x14ac:dyDescent="0.25">
      <c r="C71" s="1" t="s">
        <v>136</v>
      </c>
      <c r="D71" s="3" t="s">
        <v>86</v>
      </c>
      <c r="E71" s="1">
        <f t="shared" si="2"/>
        <v>51</v>
      </c>
      <c r="F71" s="1">
        <f t="shared" si="3"/>
        <v>52</v>
      </c>
      <c r="G71" s="3" t="s">
        <v>114</v>
      </c>
      <c r="H71" s="1" t="s">
        <v>136</v>
      </c>
    </row>
    <row r="72" spans="2:9" x14ac:dyDescent="0.25">
      <c r="B72" s="1" t="s">
        <v>163</v>
      </c>
      <c r="C72" s="4" t="s">
        <v>198</v>
      </c>
      <c r="D72" s="10" t="s">
        <v>87</v>
      </c>
      <c r="E72" s="1">
        <f t="shared" si="2"/>
        <v>53</v>
      </c>
      <c r="F72" s="1">
        <f t="shared" si="3"/>
        <v>54</v>
      </c>
      <c r="G72" s="10" t="s">
        <v>116</v>
      </c>
      <c r="H72" s="4" t="s">
        <v>199</v>
      </c>
      <c r="I72" s="1" t="s">
        <v>162</v>
      </c>
    </row>
    <row r="73" spans="2:9" x14ac:dyDescent="0.25">
      <c r="C73" s="1" t="s">
        <v>134</v>
      </c>
      <c r="D73" s="3" t="s">
        <v>88</v>
      </c>
      <c r="E73" s="1">
        <f t="shared" si="2"/>
        <v>55</v>
      </c>
      <c r="F73" s="1">
        <f t="shared" si="3"/>
        <v>56</v>
      </c>
      <c r="G73" s="10" t="s">
        <v>117</v>
      </c>
      <c r="H73" s="4" t="s">
        <v>200</v>
      </c>
      <c r="I73" s="1" t="s">
        <v>164</v>
      </c>
    </row>
    <row r="74" spans="2:9" x14ac:dyDescent="0.25">
      <c r="C74" s="1" t="s">
        <v>134</v>
      </c>
      <c r="D74" s="3" t="s">
        <v>19</v>
      </c>
      <c r="E74" s="1">
        <f t="shared" si="2"/>
        <v>57</v>
      </c>
      <c r="F74" s="1">
        <f t="shared" si="3"/>
        <v>58</v>
      </c>
      <c r="G74" s="3" t="s">
        <v>118</v>
      </c>
      <c r="H74" s="1" t="s">
        <v>134</v>
      </c>
    </row>
    <row r="75" spans="2:9" x14ac:dyDescent="0.25">
      <c r="B75" s="1" t="s">
        <v>165</v>
      </c>
      <c r="C75" s="4" t="s">
        <v>201</v>
      </c>
      <c r="D75" s="10" t="s">
        <v>89</v>
      </c>
      <c r="E75" s="1">
        <f t="shared" si="2"/>
        <v>59</v>
      </c>
      <c r="F75" s="1">
        <f t="shared" si="3"/>
        <v>60</v>
      </c>
      <c r="G75" s="10" t="s">
        <v>119</v>
      </c>
      <c r="H75" s="4" t="s">
        <v>202</v>
      </c>
      <c r="I75" s="1" t="s">
        <v>166</v>
      </c>
    </row>
    <row r="76" spans="2:9" x14ac:dyDescent="0.25">
      <c r="D76" s="6" t="s">
        <v>90</v>
      </c>
      <c r="E76" s="1">
        <f t="shared" si="2"/>
        <v>61</v>
      </c>
      <c r="F76" s="1">
        <f t="shared" si="3"/>
        <v>62</v>
      </c>
      <c r="G76" s="6" t="s">
        <v>120</v>
      </c>
    </row>
    <row r="77" spans="2:9" x14ac:dyDescent="0.25">
      <c r="B77" s="4"/>
      <c r="C77" s="4"/>
      <c r="D77" s="13" t="s">
        <v>32</v>
      </c>
      <c r="E77" s="1">
        <f t="shared" si="2"/>
        <v>63</v>
      </c>
      <c r="F77" s="1">
        <f t="shared" si="3"/>
        <v>64</v>
      </c>
      <c r="G77" s="13" t="s">
        <v>32</v>
      </c>
      <c r="I77" s="4"/>
    </row>
  </sheetData>
  <hyperlinks>
    <hyperlink ref="I1" r:id="rId1" xr:uid="{00000000-0004-0000-0000-000000000000}"/>
  </hyperlinks>
  <printOptions gridLines="1"/>
  <pageMargins left="0.7" right="0.7" top="0.75" bottom="0.75" header="0.3" footer="0.3"/>
  <pageSetup paperSize="9" scale="44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2024-10-08T13:40:46Z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2021-07-01T09:23:57Z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e8158a90-c333-4a01-83a1-f24645c12c33</vt:lpwstr>
  </property>
  <property fmtid="{D5CDD505-2E9C-101B-9397-08002B2CF9AE}" pid="8" name="MSIP_Label_10d9bad3-6dac-4e9a-89a3-89f3b8d247b2_ContentBits">
    <vt:lpwstr>0</vt:lpwstr>
  </property>
</Properties>
</file>